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d11eab02192537/Desktop/21 Days Files/"/>
    </mc:Choice>
  </mc:AlternateContent>
  <xr:revisionPtr revIDLastSave="236" documentId="8_{6DB8B472-91F0-42E3-B442-4D651D7E40BB}" xr6:coauthVersionLast="47" xr6:coauthVersionMax="47" xr10:uidLastSave="{E38BAE04-A271-4F1E-A0FB-37B83EC52033}"/>
  <bookViews>
    <workbookView xWindow="-108" yWindow="-108" windowWidth="23256" windowHeight="12456" activeTab="1" xr2:uid="{0621072A-8939-4EAA-AEB7-3A666FF990A0}"/>
  </bookViews>
  <sheets>
    <sheet name="Raw Data" sheetId="2" r:id="rId1"/>
    <sheet name="Aggregation Func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9" i="1" l="1"/>
  <c r="P18" i="1"/>
  <c r="Q14" i="1"/>
  <c r="R14" i="1"/>
  <c r="S14" i="1"/>
  <c r="T14" i="1"/>
  <c r="U14" i="1"/>
  <c r="P14" i="1"/>
  <c r="Q13" i="1"/>
  <c r="R13" i="1"/>
  <c r="S13" i="1"/>
  <c r="T13" i="1"/>
  <c r="U13" i="1"/>
  <c r="P13" i="1"/>
  <c r="Q12" i="1"/>
  <c r="R12" i="1"/>
  <c r="S12" i="1"/>
  <c r="T12" i="1"/>
  <c r="U12" i="1"/>
  <c r="P12" i="1"/>
  <c r="Q11" i="1"/>
  <c r="R11" i="1"/>
  <c r="S11" i="1"/>
  <c r="T11" i="1"/>
  <c r="U11" i="1"/>
  <c r="P11" i="1"/>
  <c r="Q10" i="1"/>
  <c r="R10" i="1"/>
  <c r="S10" i="1"/>
  <c r="T10" i="1"/>
  <c r="U10" i="1"/>
  <c r="P10" i="1"/>
  <c r="U9" i="1"/>
  <c r="T9" i="1"/>
  <c r="S9" i="1"/>
  <c r="R9" i="1"/>
  <c r="Q9" i="1"/>
  <c r="P9" i="1"/>
  <c r="O4" i="1"/>
</calcChain>
</file>

<file path=xl/sharedStrings.xml><?xml version="1.0" encoding="utf-8"?>
<sst xmlns="http://schemas.openxmlformats.org/spreadsheetml/2006/main" count="954" uniqueCount="330">
  <si>
    <t>id</t>
  </si>
  <si>
    <t>first_name</t>
  </si>
  <si>
    <t>last_name</t>
  </si>
  <si>
    <t>email</t>
  </si>
  <si>
    <t>gender</t>
  </si>
  <si>
    <t>part_time_job</t>
  </si>
  <si>
    <t>absence_days</t>
  </si>
  <si>
    <t>extracurricular_activities</t>
  </si>
  <si>
    <t>weekly_self_study_hours</t>
  </si>
  <si>
    <t>career_aspiration</t>
  </si>
  <si>
    <t>math_score</t>
  </si>
  <si>
    <t>history_score</t>
  </si>
  <si>
    <t>physics_score</t>
  </si>
  <si>
    <t>chemistry_score</t>
  </si>
  <si>
    <t>biology_score</t>
  </si>
  <si>
    <t>english_score</t>
  </si>
  <si>
    <t>geography_score</t>
  </si>
  <si>
    <t>Paul</t>
  </si>
  <si>
    <t>Casey</t>
  </si>
  <si>
    <t>paul.casey.1@gslingacademy.com</t>
  </si>
  <si>
    <t>male</t>
  </si>
  <si>
    <t>Lawyer</t>
  </si>
  <si>
    <t>Danielle</t>
  </si>
  <si>
    <t>Sandoval</t>
  </si>
  <si>
    <t>danielle.sandoval.2@gslingacademy.com</t>
  </si>
  <si>
    <t>female</t>
  </si>
  <si>
    <t>Doctor</t>
  </si>
  <si>
    <t>Tina</t>
  </si>
  <si>
    <t>Andrews</t>
  </si>
  <si>
    <t>tina.andrews.3@gslingacademy.com</t>
  </si>
  <si>
    <t>Government Officer</t>
  </si>
  <si>
    <t>Tara</t>
  </si>
  <si>
    <t>Clark</t>
  </si>
  <si>
    <t>tara.clark.4@gslingacademy.com</t>
  </si>
  <si>
    <t>Artist</t>
  </si>
  <si>
    <t>Anthony</t>
  </si>
  <si>
    <t>Campos</t>
  </si>
  <si>
    <t>anthony.campos.5@gslingacademy.com</t>
  </si>
  <si>
    <t>Unknown</t>
  </si>
  <si>
    <t>Kelly</t>
  </si>
  <si>
    <t>Wade</t>
  </si>
  <si>
    <t>kelly.wade.6@gslingacademy.com</t>
  </si>
  <si>
    <t>Smith</t>
  </si>
  <si>
    <t>anthony.smith.7@gslingacademy.com</t>
  </si>
  <si>
    <t>Software Engineer</t>
  </si>
  <si>
    <t>George</t>
  </si>
  <si>
    <t>Short</t>
  </si>
  <si>
    <t>george.short.8@gslingacademy.com</t>
  </si>
  <si>
    <t>Stanley</t>
  </si>
  <si>
    <t>Gutierrez</t>
  </si>
  <si>
    <t>stanley.gutierrez.9@gslingacademy.com</t>
  </si>
  <si>
    <t>Audrey</t>
  </si>
  <si>
    <t>Simpson</t>
  </si>
  <si>
    <t>audrey.simpson.10@gslingacademy.com</t>
  </si>
  <si>
    <t>Teacher</t>
  </si>
  <si>
    <t>Gabrielle</t>
  </si>
  <si>
    <t>White</t>
  </si>
  <si>
    <t>gabrielle.white.11@gslingacademy.com</t>
  </si>
  <si>
    <t>Clinton</t>
  </si>
  <si>
    <t>Randolph</t>
  </si>
  <si>
    <t>clinton.randolph.12@gslingacademy.com</t>
  </si>
  <si>
    <t>Patricia</t>
  </si>
  <si>
    <t>Gomez</t>
  </si>
  <si>
    <t>patricia.gomez.13@gslingacademy.com</t>
  </si>
  <si>
    <t>Business Owner</t>
  </si>
  <si>
    <t>Pamela</t>
  </si>
  <si>
    <t>Jackson</t>
  </si>
  <si>
    <t>pamela.jackson.14@gslingacademy.com</t>
  </si>
  <si>
    <t>Laura</t>
  </si>
  <si>
    <t>laura.jackson.15@gslingacademy.com</t>
  </si>
  <si>
    <t>Roger</t>
  </si>
  <si>
    <t>Wiley</t>
  </si>
  <si>
    <t>roger.wiley.16@gslingacademy.com</t>
  </si>
  <si>
    <t>Vicki</t>
  </si>
  <si>
    <t>Thompson</t>
  </si>
  <si>
    <t>vicki.thompson.17@gslingacademy.com</t>
  </si>
  <si>
    <t>Scientist</t>
  </si>
  <si>
    <t>Maxwell</t>
  </si>
  <si>
    <t>Davidson</t>
  </si>
  <si>
    <t>maxwell.davidson.18@gslingacademy.com</t>
  </si>
  <si>
    <t>Jonathan</t>
  </si>
  <si>
    <t>Werner</t>
  </si>
  <si>
    <t>jonathan.werner.19@gslingacademy.com</t>
  </si>
  <si>
    <t>Angela</t>
  </si>
  <si>
    <t>Rios</t>
  </si>
  <si>
    <t>angela.rios.20@gslingacademy.com</t>
  </si>
  <si>
    <t>Tim</t>
  </si>
  <si>
    <t>Nichols</t>
  </si>
  <si>
    <t>tim.nichols.21@gslingacademy.com</t>
  </si>
  <si>
    <t>Kyle</t>
  </si>
  <si>
    <t>Willis</t>
  </si>
  <si>
    <t>kyle.willis.22@gslingacademy.com</t>
  </si>
  <si>
    <t>Shannon</t>
  </si>
  <si>
    <t>shannon.simpson.23@gslingacademy.com</t>
  </si>
  <si>
    <t>Sean</t>
  </si>
  <si>
    <t>Griffin</t>
  </si>
  <si>
    <t>sean.griffin.24@gslingacademy.com</t>
  </si>
  <si>
    <t>Cassandra</t>
  </si>
  <si>
    <t>West</t>
  </si>
  <si>
    <t>cassandra.west.25@gslingacademy.com</t>
  </si>
  <si>
    <t>Chavez</t>
  </si>
  <si>
    <t>patricia.chavez.26@gslingacademy.com</t>
  </si>
  <si>
    <t>Jason</t>
  </si>
  <si>
    <t>Williams</t>
  </si>
  <si>
    <t>jason.williams.27@gslingacademy.com</t>
  </si>
  <si>
    <t>Banker</t>
  </si>
  <si>
    <t>Peter</t>
  </si>
  <si>
    <t>Gibbs</t>
  </si>
  <si>
    <t>peter.gibbs.28@gslingacademy.com</t>
  </si>
  <si>
    <t>Writer</t>
  </si>
  <si>
    <t>Jeffrey</t>
  </si>
  <si>
    <t>Blanchard</t>
  </si>
  <si>
    <t>jeffrey.blanchard.29@gslingacademy.com</t>
  </si>
  <si>
    <t>Accountant</t>
  </si>
  <si>
    <t>Carol</t>
  </si>
  <si>
    <t>Hill</t>
  </si>
  <si>
    <t>carol.hill.30@gslingacademy.com</t>
  </si>
  <si>
    <t>Angie</t>
  </si>
  <si>
    <t>Miller</t>
  </si>
  <si>
    <t>angie.miller.31@gslingacademy.com</t>
  </si>
  <si>
    <t>Cynthia</t>
  </si>
  <si>
    <t>Knapp</t>
  </si>
  <si>
    <t>cynthia.knapp.32@gslingacademy.com</t>
  </si>
  <si>
    <t>Designer</t>
  </si>
  <si>
    <t>Timothy</t>
  </si>
  <si>
    <t>Bryant</t>
  </si>
  <si>
    <t>timothy.bryant.33@gslingacademy.com</t>
  </si>
  <si>
    <t>Phyllis</t>
  </si>
  <si>
    <t>Diaz</t>
  </si>
  <si>
    <t>phyllis.diaz.34@gslingacademy.com</t>
  </si>
  <si>
    <t>Lisa</t>
  </si>
  <si>
    <t>Burns</t>
  </si>
  <si>
    <t>lisa.burns.35@gslingacademy.com</t>
  </si>
  <si>
    <t>Farley</t>
  </si>
  <si>
    <t>kelly.farley.36@gslingacademy.com</t>
  </si>
  <si>
    <t>Ryan</t>
  </si>
  <si>
    <t>Lee</t>
  </si>
  <si>
    <t>ryan.lee.37@gslingacademy.com</t>
  </si>
  <si>
    <t>Construction Engineer</t>
  </si>
  <si>
    <t>Michael</t>
  </si>
  <si>
    <t>Gilmore</t>
  </si>
  <si>
    <t>michael.gilmore.38@gslingacademy.com</t>
  </si>
  <si>
    <t>Miguel</t>
  </si>
  <si>
    <t>Martinez</t>
  </si>
  <si>
    <t>miguel.martinez.39@gslingacademy.com</t>
  </si>
  <si>
    <t>Christopher</t>
  </si>
  <si>
    <t>Taylor</t>
  </si>
  <si>
    <t>christopher.taylor.40@gslingacademy.com</t>
  </si>
  <si>
    <t>Emily</t>
  </si>
  <si>
    <t>Holloway</t>
  </si>
  <si>
    <t>emily.holloway.41@gslingacademy.com</t>
  </si>
  <si>
    <t>Jesus</t>
  </si>
  <si>
    <t>Rasmussen</t>
  </si>
  <si>
    <t>jesus.rasmussen.42@gslingacademy.com</t>
  </si>
  <si>
    <t>Lauren</t>
  </si>
  <si>
    <t>Farmer</t>
  </si>
  <si>
    <t>lauren.farmer.43@gslingacademy.com</t>
  </si>
  <si>
    <t>Cole</t>
  </si>
  <si>
    <t>pamela.cole.44@gslingacademy.com</t>
  </si>
  <si>
    <t>Game Developer</t>
  </si>
  <si>
    <t>David</t>
  </si>
  <si>
    <t>Gillespie</t>
  </si>
  <si>
    <t>david.gillespie.45@gslingacademy.com</t>
  </si>
  <si>
    <t>Kenneth</t>
  </si>
  <si>
    <t>Davis</t>
  </si>
  <si>
    <t>kenneth.davis.46@gslingacademy.com</t>
  </si>
  <si>
    <t>Elizabeth</t>
  </si>
  <si>
    <t>Martin</t>
  </si>
  <si>
    <t>elizabeth.martin.47@gslingacademy.com</t>
  </si>
  <si>
    <t>Billy</t>
  </si>
  <si>
    <t>Soto</t>
  </si>
  <si>
    <t>billy.soto.48@gslingacademy.com</t>
  </si>
  <si>
    <t>Stock Investor</t>
  </si>
  <si>
    <t>Kimberly</t>
  </si>
  <si>
    <t>kimberly.kelly.49@gslingacademy.com</t>
  </si>
  <si>
    <t>Sonia</t>
  </si>
  <si>
    <t>Noble</t>
  </si>
  <si>
    <t>sonia.noble.50@gslingacademy.com</t>
  </si>
  <si>
    <t>Stewart</t>
  </si>
  <si>
    <t>christopher.stewart.51@gslingacademy.com</t>
  </si>
  <si>
    <t>Sandra</t>
  </si>
  <si>
    <t>Thornton</t>
  </si>
  <si>
    <t>sandra.thornton.52@gslingacademy.com</t>
  </si>
  <si>
    <t>Luke</t>
  </si>
  <si>
    <t>luke.shannon.53@gslingacademy.com</t>
  </si>
  <si>
    <t>Lindsay</t>
  </si>
  <si>
    <t>Pruitt</t>
  </si>
  <si>
    <t>lindsay.pruitt.54@gslingacademy.com</t>
  </si>
  <si>
    <t>Jamie</t>
  </si>
  <si>
    <t>jamie.taylor.55@gslingacademy.com</t>
  </si>
  <si>
    <t>Jennifer</t>
  </si>
  <si>
    <t>Murphy</t>
  </si>
  <si>
    <t>jennifer.murphy.56@gslingacademy.com</t>
  </si>
  <si>
    <t>Melissa</t>
  </si>
  <si>
    <t>melissa.lee.57@gslingacademy.com</t>
  </si>
  <si>
    <t>Vaughn</t>
  </si>
  <si>
    <t>david.vaughn.58@gslingacademy.com</t>
  </si>
  <si>
    <t>Jacob</t>
  </si>
  <si>
    <t>Hanson</t>
  </si>
  <si>
    <t>jacob.hanson.59@gslingacademy.com</t>
  </si>
  <si>
    <t>May</t>
  </si>
  <si>
    <t>casey.may.60@gslingacademy.com</t>
  </si>
  <si>
    <t>Michelle</t>
  </si>
  <si>
    <t>Roman</t>
  </si>
  <si>
    <t>michelle.roman.61@gslingacademy.com</t>
  </si>
  <si>
    <t>Brittany</t>
  </si>
  <si>
    <t>Koch</t>
  </si>
  <si>
    <t>brittany.koch.62@gslingacademy.com</t>
  </si>
  <si>
    <t>Brian</t>
  </si>
  <si>
    <t>Lewis</t>
  </si>
  <si>
    <t>brian.lewis.63@gslingacademy.com</t>
  </si>
  <si>
    <t>Veronica</t>
  </si>
  <si>
    <t>Cameron</t>
  </si>
  <si>
    <t>veronica.cameron.64@gslingacademy.com</t>
  </si>
  <si>
    <t>Eric</t>
  </si>
  <si>
    <t>Reyes</t>
  </si>
  <si>
    <t>eric.reyes.65@gslingacademy.com</t>
  </si>
  <si>
    <t>Kristy</t>
  </si>
  <si>
    <t>Weber</t>
  </si>
  <si>
    <t>kristy.weber.66@gslingacademy.com</t>
  </si>
  <si>
    <t>anthony.smith.67@gslingacademy.com</t>
  </si>
  <si>
    <t>Steven</t>
  </si>
  <si>
    <t>Stephens</t>
  </si>
  <si>
    <t>steven.stephens.68@gslingacademy.com</t>
  </si>
  <si>
    <t>Real Estate Developer</t>
  </si>
  <si>
    <t>Henry</t>
  </si>
  <si>
    <t>henry.davis.69@gslingacademy.com</t>
  </si>
  <si>
    <t>Raymond</t>
  </si>
  <si>
    <t>Shea</t>
  </si>
  <si>
    <t>raymond.shea.70@gslingacademy.com</t>
  </si>
  <si>
    <t>Jill</t>
  </si>
  <si>
    <t>Perez</t>
  </si>
  <si>
    <t>jill.perez.71@gslingacademy.com</t>
  </si>
  <si>
    <t>Bonilla</t>
  </si>
  <si>
    <t>kimberly.bonilla.72@gslingacademy.com</t>
  </si>
  <si>
    <t>Louis</t>
  </si>
  <si>
    <t>Edwards</t>
  </si>
  <si>
    <t>louis.edwards.73@gslingacademy.com</t>
  </si>
  <si>
    <t>Hodge</t>
  </si>
  <si>
    <t>michael.hodge.74@gslingacademy.com</t>
  </si>
  <si>
    <t>Anna</t>
  </si>
  <si>
    <t>Li</t>
  </si>
  <si>
    <t>anna.li.75@gslingacademy.com</t>
  </si>
  <si>
    <t>Andrea</t>
  </si>
  <si>
    <t>Case</t>
  </si>
  <si>
    <t>andrea.case.76@gslingacademy.com</t>
  </si>
  <si>
    <t>Garcia</t>
  </si>
  <si>
    <t>jennifer.garcia.77@gslingacademy.com</t>
  </si>
  <si>
    <t>Rhonda</t>
  </si>
  <si>
    <t>Davenport</t>
  </si>
  <si>
    <t>rhonda.davenport.78@gslingacademy.com</t>
  </si>
  <si>
    <t>Chelsea</t>
  </si>
  <si>
    <t>Craig</t>
  </si>
  <si>
    <t>chelsea.craig.79@gslingacademy.com</t>
  </si>
  <si>
    <t>Shawn</t>
  </si>
  <si>
    <t>Chase</t>
  </si>
  <si>
    <t>shawn.chase.80@gslingacademy.com</t>
  </si>
  <si>
    <t>Calhoun</t>
  </si>
  <si>
    <t>elizabeth.calhoun.81@gslingacademy.com</t>
  </si>
  <si>
    <t>Harris</t>
  </si>
  <si>
    <t>lisa.harris.82@gslingacademy.com</t>
  </si>
  <si>
    <t>Snyder</t>
  </si>
  <si>
    <t>carol.snyder.83@gslingacademy.com</t>
  </si>
  <si>
    <t>Charles</t>
  </si>
  <si>
    <t>Butler</t>
  </si>
  <si>
    <t>charles.butler.84@gslingacademy.com</t>
  </si>
  <si>
    <t>James</t>
  </si>
  <si>
    <t>Dawson</t>
  </si>
  <si>
    <t>james.dawson.85@gslingacademy.com</t>
  </si>
  <si>
    <t>Dennis</t>
  </si>
  <si>
    <t>Kim</t>
  </si>
  <si>
    <t>dennis.kim.86@gslingacademy.com</t>
  </si>
  <si>
    <t>Berry</t>
  </si>
  <si>
    <t>jennifer.berry.87@gslingacademy.com</t>
  </si>
  <si>
    <t>Yvette</t>
  </si>
  <si>
    <t>Bridges</t>
  </si>
  <si>
    <t>yvette.bridges.88@gslingacademy.com</t>
  </si>
  <si>
    <t>Robert</t>
  </si>
  <si>
    <t>Atkins</t>
  </si>
  <si>
    <t>robert.atkins.89@gslingacademy.com</t>
  </si>
  <si>
    <t>William</t>
  </si>
  <si>
    <t>Brown</t>
  </si>
  <si>
    <t>william.brown.90@gslingacademy.com</t>
  </si>
  <si>
    <t>Patrick</t>
  </si>
  <si>
    <t>Parker</t>
  </si>
  <si>
    <t>patrick.parker.91@gslingacademy.com</t>
  </si>
  <si>
    <t>Santiago</t>
  </si>
  <si>
    <t>james.santiago.92@gslingacademy.com</t>
  </si>
  <si>
    <t>Parsons</t>
  </si>
  <si>
    <t>robert.parsons.93@gslingacademy.com</t>
  </si>
  <si>
    <t>jacob.brown.94@gslingacademy.com</t>
  </si>
  <si>
    <t>Natalie</t>
  </si>
  <si>
    <t>Robinson</t>
  </si>
  <si>
    <t>natalie.robinson.95@gslingacademy.com</t>
  </si>
  <si>
    <t>Victoria</t>
  </si>
  <si>
    <t>Jones</t>
  </si>
  <si>
    <t>victoria.jones.96@gslingacademy.com</t>
  </si>
  <si>
    <t>Natasha</t>
  </si>
  <si>
    <t>Hansen</t>
  </si>
  <si>
    <t>natasha.hansen.97@gslingacademy.com</t>
  </si>
  <si>
    <t>Thomas</t>
  </si>
  <si>
    <t>thomas.white.98@gslingacademy.com</t>
  </si>
  <si>
    <t>Derrick</t>
  </si>
  <si>
    <t>Figueroa</t>
  </si>
  <si>
    <t>derrick.figueroa.99@gslingacademy.com</t>
  </si>
  <si>
    <t>Ward</t>
  </si>
  <si>
    <t>kimberly.ward.100@gslingacademy.com</t>
  </si>
  <si>
    <t>ID</t>
  </si>
  <si>
    <t>First_Name</t>
  </si>
  <si>
    <t>Last_Name</t>
  </si>
  <si>
    <t>Gender</t>
  </si>
  <si>
    <t>Absence_Days</t>
  </si>
  <si>
    <t>Career_Aspiration</t>
  </si>
  <si>
    <t>History</t>
  </si>
  <si>
    <t>Physics</t>
  </si>
  <si>
    <t>Chemistry</t>
  </si>
  <si>
    <t>Biology</t>
  </si>
  <si>
    <t>English</t>
  </si>
  <si>
    <t>Maths</t>
  </si>
  <si>
    <t>Using Aggregation Functions</t>
  </si>
  <si>
    <t>SUM</t>
  </si>
  <si>
    <t>Functions</t>
  </si>
  <si>
    <t>MIN</t>
  </si>
  <si>
    <t>MAX</t>
  </si>
  <si>
    <t>COUNT</t>
  </si>
  <si>
    <t>COUNTA</t>
  </si>
  <si>
    <t>AVERAGE</t>
  </si>
  <si>
    <t>I Choose Absence Days for COUNT and COUNTA Functions</t>
  </si>
  <si>
    <t>NO</t>
  </si>
  <si>
    <t>I manually enter 0 days convert to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</si>
</sst>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3" fillId="2" borderId="0" xfId="0" applyFont="1" applyFill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2" xfId="0" applyFont="1" applyBorder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7" xfId="0" applyFont="1" applyBorder="1"/>
    <xf numFmtId="0" fontId="0" fillId="0" borderId="8" xfId="0" applyFont="1" applyBorder="1"/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2" fillId="5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672614-B98C-4FFC-A37E-9C42BC5CFE95}" name="Table1" displayName="Table1" ref="A1:L101" totalsRowShown="0" headerRowDxfId="13" dataDxfId="0" headerRowBorderDxfId="15" tableBorderDxfId="16" totalsRowBorderDxfId="14">
  <autoFilter ref="A1:L101" xr:uid="{29672614-B98C-4FFC-A37E-9C42BC5CFE95}"/>
  <tableColumns count="12">
    <tableColumn id="1" xr3:uid="{8AF3F360-0EEB-4A5D-8046-90869314B84E}" name="ID" dataDxfId="12"/>
    <tableColumn id="2" xr3:uid="{DC8C2F76-1633-4341-9CD1-D76860D8BCB9}" name="First_Name" dataDxfId="11"/>
    <tableColumn id="3" xr3:uid="{8F63B4CE-FB84-4528-BDCD-7A2A2C3DAC45}" name="Last_Name" dataDxfId="10"/>
    <tableColumn id="4" xr3:uid="{170FE22C-5781-440A-9510-3224516CDC63}" name="Gender" dataDxfId="9"/>
    <tableColumn id="5" xr3:uid="{B3053FB5-3453-47BF-9DE1-6716A194B44D}" name="Absence_Days" dataDxfId="8"/>
    <tableColumn id="6" xr3:uid="{6077FA13-A5A6-4EB0-87F0-FF5DE5AD299E}" name="Career_Aspiration" dataDxfId="7"/>
    <tableColumn id="7" xr3:uid="{6E8E201A-CC0C-48E5-BE77-255E1B1FE74A}" name="Maths" dataDxfId="6"/>
    <tableColumn id="8" xr3:uid="{C5A452DE-7E33-4125-8ABA-7EBB39748B15}" name="History" dataDxfId="5"/>
    <tableColumn id="9" xr3:uid="{5D15B174-5A22-43D5-8DC3-0035052FF87E}" name="Physics" dataDxfId="4"/>
    <tableColumn id="10" xr3:uid="{FAE45264-AE9E-40EC-84A3-0A68B405A6A9}" name="Chemistry" dataDxfId="3"/>
    <tableColumn id="11" xr3:uid="{E3FC607D-7E4F-4CA6-A415-12B02F5AB7E9}" name="Biology" dataDxfId="2"/>
    <tableColumn id="12" xr3:uid="{8987733C-C219-40A5-936C-D9CD726CB02A}" name="English" dataDxfId="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0068-ECF4-4CDA-8E0B-5878346D159E}">
  <dimension ref="A1:Q101"/>
  <sheetViews>
    <sheetView workbookViewId="0">
      <selection activeCell="D34" sqref="D34"/>
    </sheetView>
  </sheetViews>
  <sheetFormatPr defaultRowHeight="14.4" x14ac:dyDescent="0.3"/>
  <cols>
    <col min="1" max="1" width="4" bestFit="1" customWidth="1"/>
    <col min="2" max="2" width="11" bestFit="1" customWidth="1"/>
    <col min="3" max="3" width="10.6640625" bestFit="1" customWidth="1"/>
    <col min="4" max="4" width="38" bestFit="1" customWidth="1"/>
    <col min="5" max="5" width="7.44140625" bestFit="1" customWidth="1"/>
    <col min="6" max="6" width="14.44140625" bestFit="1" customWidth="1"/>
    <col min="7" max="7" width="14" bestFit="1" customWidth="1"/>
    <col min="8" max="8" width="24.21875" bestFit="1" customWidth="1"/>
    <col min="9" max="9" width="24.88671875" bestFit="1" customWidth="1"/>
    <col min="10" max="10" width="19.109375" bestFit="1" customWidth="1"/>
    <col min="11" max="11" width="11.88671875" bestFit="1" customWidth="1"/>
    <col min="12" max="12" width="13.5546875" bestFit="1" customWidth="1"/>
    <col min="13" max="13" width="13.77734375" bestFit="1" customWidth="1"/>
    <col min="14" max="14" width="16.109375" bestFit="1" customWidth="1"/>
    <col min="15" max="15" width="13.88671875" bestFit="1" customWidth="1"/>
    <col min="16" max="16" width="13.6640625" bestFit="1" customWidth="1"/>
    <col min="17" max="17" width="16.77734375" bestFit="1" customWidth="1"/>
  </cols>
  <sheetData>
    <row r="1" spans="1:1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>
        <v>1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s="3">
        <v>3</v>
      </c>
      <c r="H2" s="3" t="b">
        <v>0</v>
      </c>
      <c r="I2" s="3">
        <v>27</v>
      </c>
      <c r="J2" t="s">
        <v>21</v>
      </c>
      <c r="K2" s="3">
        <v>73</v>
      </c>
      <c r="L2" s="3">
        <v>81</v>
      </c>
      <c r="M2" s="3">
        <v>93</v>
      </c>
      <c r="N2" s="3">
        <v>97</v>
      </c>
      <c r="O2" s="3">
        <v>63</v>
      </c>
      <c r="P2" s="3">
        <v>80</v>
      </c>
      <c r="Q2" s="3">
        <v>87</v>
      </c>
    </row>
    <row r="3" spans="1:17" x14ac:dyDescent="0.3">
      <c r="A3">
        <v>2</v>
      </c>
      <c r="B3" t="s">
        <v>22</v>
      </c>
      <c r="C3" t="s">
        <v>23</v>
      </c>
      <c r="D3" t="s">
        <v>24</v>
      </c>
      <c r="E3" t="s">
        <v>25</v>
      </c>
      <c r="F3" t="b">
        <v>0</v>
      </c>
      <c r="G3" s="3">
        <v>2</v>
      </c>
      <c r="H3" s="3" t="b">
        <v>0</v>
      </c>
      <c r="I3" s="3">
        <v>47</v>
      </c>
      <c r="J3" t="s">
        <v>26</v>
      </c>
      <c r="K3" s="3">
        <v>90</v>
      </c>
      <c r="L3" s="3">
        <v>86</v>
      </c>
      <c r="M3" s="3">
        <v>96</v>
      </c>
      <c r="N3" s="3">
        <v>100</v>
      </c>
      <c r="O3" s="3">
        <v>90</v>
      </c>
      <c r="P3" s="3">
        <v>88</v>
      </c>
      <c r="Q3" s="3">
        <v>90</v>
      </c>
    </row>
    <row r="4" spans="1:17" x14ac:dyDescent="0.3">
      <c r="A4">
        <v>3</v>
      </c>
      <c r="B4" t="s">
        <v>27</v>
      </c>
      <c r="C4" t="s">
        <v>28</v>
      </c>
      <c r="D4" t="s">
        <v>29</v>
      </c>
      <c r="E4" t="s">
        <v>25</v>
      </c>
      <c r="F4" t="b">
        <v>0</v>
      </c>
      <c r="G4" s="3">
        <v>9</v>
      </c>
      <c r="H4" s="3" t="b">
        <v>1</v>
      </c>
      <c r="I4" s="3">
        <v>13</v>
      </c>
      <c r="J4" t="s">
        <v>30</v>
      </c>
      <c r="K4" s="3">
        <v>81</v>
      </c>
      <c r="L4" s="3">
        <v>97</v>
      </c>
      <c r="M4" s="3">
        <v>95</v>
      </c>
      <c r="N4" s="3">
        <v>96</v>
      </c>
      <c r="O4" s="3">
        <v>65</v>
      </c>
      <c r="P4" s="3">
        <v>77</v>
      </c>
      <c r="Q4" s="3">
        <v>94</v>
      </c>
    </row>
    <row r="5" spans="1:17" x14ac:dyDescent="0.3">
      <c r="A5">
        <v>4</v>
      </c>
      <c r="B5" t="s">
        <v>31</v>
      </c>
      <c r="C5" t="s">
        <v>32</v>
      </c>
      <c r="D5" t="s">
        <v>33</v>
      </c>
      <c r="E5" t="s">
        <v>25</v>
      </c>
      <c r="F5" t="b">
        <v>0</v>
      </c>
      <c r="G5" s="3">
        <v>5</v>
      </c>
      <c r="H5" s="3" t="b">
        <v>0</v>
      </c>
      <c r="I5" s="3">
        <v>3</v>
      </c>
      <c r="J5" t="s">
        <v>34</v>
      </c>
      <c r="K5" s="3">
        <v>71</v>
      </c>
      <c r="L5" s="3">
        <v>74</v>
      </c>
      <c r="M5" s="3">
        <v>88</v>
      </c>
      <c r="N5" s="3">
        <v>80</v>
      </c>
      <c r="O5" s="3">
        <v>89</v>
      </c>
      <c r="P5" s="3">
        <v>63</v>
      </c>
      <c r="Q5" s="3">
        <v>86</v>
      </c>
    </row>
    <row r="6" spans="1:17" x14ac:dyDescent="0.3">
      <c r="A6">
        <v>5</v>
      </c>
      <c r="B6" t="s">
        <v>35</v>
      </c>
      <c r="C6" t="s">
        <v>36</v>
      </c>
      <c r="D6" t="s">
        <v>37</v>
      </c>
      <c r="E6" t="s">
        <v>20</v>
      </c>
      <c r="F6" t="b">
        <v>0</v>
      </c>
      <c r="G6" s="3">
        <v>5</v>
      </c>
      <c r="H6" s="3" t="b">
        <v>0</v>
      </c>
      <c r="I6" s="3">
        <v>10</v>
      </c>
      <c r="J6" t="s">
        <v>38</v>
      </c>
      <c r="K6" s="3">
        <v>84</v>
      </c>
      <c r="L6" s="3">
        <v>77</v>
      </c>
      <c r="M6" s="3">
        <v>65</v>
      </c>
      <c r="N6" s="3">
        <v>65</v>
      </c>
      <c r="O6" s="3">
        <v>80</v>
      </c>
      <c r="P6" s="3">
        <v>74</v>
      </c>
      <c r="Q6" s="3">
        <v>76</v>
      </c>
    </row>
    <row r="7" spans="1:17" x14ac:dyDescent="0.3">
      <c r="A7">
        <v>6</v>
      </c>
      <c r="B7" t="s">
        <v>39</v>
      </c>
      <c r="C7" t="s">
        <v>40</v>
      </c>
      <c r="D7" t="s">
        <v>41</v>
      </c>
      <c r="E7" t="s">
        <v>25</v>
      </c>
      <c r="F7" t="b">
        <v>0</v>
      </c>
      <c r="G7" s="3">
        <v>2</v>
      </c>
      <c r="H7" s="3" t="b">
        <v>0</v>
      </c>
      <c r="I7" s="3">
        <v>26</v>
      </c>
      <c r="J7" t="s">
        <v>38</v>
      </c>
      <c r="K7" s="3">
        <v>93</v>
      </c>
      <c r="L7" s="3">
        <v>100</v>
      </c>
      <c r="M7" s="3">
        <v>67</v>
      </c>
      <c r="N7" s="3">
        <v>78</v>
      </c>
      <c r="O7" s="3">
        <v>72</v>
      </c>
      <c r="P7" s="3">
        <v>80</v>
      </c>
      <c r="Q7" s="3">
        <v>84</v>
      </c>
    </row>
    <row r="8" spans="1:17" x14ac:dyDescent="0.3">
      <c r="A8">
        <v>7</v>
      </c>
      <c r="B8" t="s">
        <v>35</v>
      </c>
      <c r="C8" t="s">
        <v>42</v>
      </c>
      <c r="D8" t="s">
        <v>43</v>
      </c>
      <c r="E8" t="s">
        <v>20</v>
      </c>
      <c r="F8" t="b">
        <v>0</v>
      </c>
      <c r="G8" s="3">
        <v>3</v>
      </c>
      <c r="H8" s="3" t="b">
        <v>1</v>
      </c>
      <c r="I8" s="3">
        <v>23</v>
      </c>
      <c r="J8" t="s">
        <v>44</v>
      </c>
      <c r="K8" s="3">
        <v>99</v>
      </c>
      <c r="L8" s="3">
        <v>96</v>
      </c>
      <c r="M8" s="3">
        <v>97</v>
      </c>
      <c r="N8" s="3">
        <v>73</v>
      </c>
      <c r="O8" s="3">
        <v>88</v>
      </c>
      <c r="P8" s="3">
        <v>76</v>
      </c>
      <c r="Q8" s="3">
        <v>64</v>
      </c>
    </row>
    <row r="9" spans="1:17" x14ac:dyDescent="0.3">
      <c r="A9">
        <v>8</v>
      </c>
      <c r="B9" t="s">
        <v>45</v>
      </c>
      <c r="C9" t="s">
        <v>46</v>
      </c>
      <c r="D9" t="s">
        <v>47</v>
      </c>
      <c r="E9" t="s">
        <v>20</v>
      </c>
      <c r="F9" t="b">
        <v>1</v>
      </c>
      <c r="G9" s="3">
        <v>2</v>
      </c>
      <c r="H9" s="3" t="b">
        <v>1</v>
      </c>
      <c r="I9" s="3">
        <v>34</v>
      </c>
      <c r="J9" t="s">
        <v>44</v>
      </c>
      <c r="K9" s="3">
        <v>95</v>
      </c>
      <c r="L9" s="3">
        <v>95</v>
      </c>
      <c r="M9" s="3">
        <v>82</v>
      </c>
      <c r="N9" s="3">
        <v>63</v>
      </c>
      <c r="O9" s="3">
        <v>84</v>
      </c>
      <c r="P9" s="3">
        <v>70</v>
      </c>
      <c r="Q9" s="3">
        <v>85</v>
      </c>
    </row>
    <row r="10" spans="1:17" x14ac:dyDescent="0.3">
      <c r="A10">
        <v>9</v>
      </c>
      <c r="B10" t="s">
        <v>48</v>
      </c>
      <c r="C10" t="s">
        <v>49</v>
      </c>
      <c r="D10" t="s">
        <v>50</v>
      </c>
      <c r="E10" t="s">
        <v>20</v>
      </c>
      <c r="F10" t="b">
        <v>0</v>
      </c>
      <c r="G10" s="3">
        <v>6</v>
      </c>
      <c r="H10" s="3" t="b">
        <v>0</v>
      </c>
      <c r="I10" s="3">
        <v>25</v>
      </c>
      <c r="J10" t="s">
        <v>38</v>
      </c>
      <c r="K10" s="3">
        <v>94</v>
      </c>
      <c r="L10" s="3">
        <v>68</v>
      </c>
      <c r="M10" s="3">
        <v>94</v>
      </c>
      <c r="N10" s="3">
        <v>85</v>
      </c>
      <c r="O10" s="3">
        <v>81</v>
      </c>
      <c r="P10" s="3">
        <v>74</v>
      </c>
      <c r="Q10" s="3">
        <v>72</v>
      </c>
    </row>
    <row r="11" spans="1:17" x14ac:dyDescent="0.3">
      <c r="A11">
        <v>10</v>
      </c>
      <c r="B11" t="s">
        <v>51</v>
      </c>
      <c r="C11" t="s">
        <v>52</v>
      </c>
      <c r="D11" t="s">
        <v>53</v>
      </c>
      <c r="E11" t="s">
        <v>25</v>
      </c>
      <c r="F11" t="b">
        <v>0</v>
      </c>
      <c r="G11" s="3">
        <v>3</v>
      </c>
      <c r="H11" s="3" t="b">
        <v>1</v>
      </c>
      <c r="I11" s="3">
        <v>18</v>
      </c>
      <c r="J11" t="s">
        <v>54</v>
      </c>
      <c r="K11" s="3">
        <v>98</v>
      </c>
      <c r="L11" s="3">
        <v>69</v>
      </c>
      <c r="M11" s="3">
        <v>88</v>
      </c>
      <c r="N11" s="3">
        <v>71</v>
      </c>
      <c r="O11" s="3">
        <v>67</v>
      </c>
      <c r="P11" s="3">
        <v>71</v>
      </c>
      <c r="Q11" s="3">
        <v>73</v>
      </c>
    </row>
    <row r="12" spans="1:17" x14ac:dyDescent="0.3">
      <c r="A12">
        <v>11</v>
      </c>
      <c r="B12" t="s">
        <v>55</v>
      </c>
      <c r="C12" t="s">
        <v>56</v>
      </c>
      <c r="D12" t="s">
        <v>57</v>
      </c>
      <c r="E12" t="s">
        <v>25</v>
      </c>
      <c r="F12" t="b">
        <v>0</v>
      </c>
      <c r="G12" s="3">
        <v>2</v>
      </c>
      <c r="H12" s="3" t="b">
        <v>0</v>
      </c>
      <c r="I12" s="3">
        <v>7</v>
      </c>
      <c r="J12" t="s">
        <v>54</v>
      </c>
      <c r="K12" s="3">
        <v>65</v>
      </c>
      <c r="L12" s="3">
        <v>60</v>
      </c>
      <c r="M12" s="3">
        <v>97</v>
      </c>
      <c r="N12" s="3">
        <v>94</v>
      </c>
      <c r="O12" s="3">
        <v>71</v>
      </c>
      <c r="P12" s="3">
        <v>81</v>
      </c>
      <c r="Q12" s="3">
        <v>66</v>
      </c>
    </row>
    <row r="13" spans="1:17" x14ac:dyDescent="0.3">
      <c r="A13">
        <v>12</v>
      </c>
      <c r="B13" t="s">
        <v>58</v>
      </c>
      <c r="C13" t="s">
        <v>59</v>
      </c>
      <c r="D13" t="s">
        <v>60</v>
      </c>
      <c r="E13" t="s">
        <v>20</v>
      </c>
      <c r="F13" t="b">
        <v>0</v>
      </c>
      <c r="G13" s="3">
        <v>1</v>
      </c>
      <c r="H13" s="3" t="b">
        <v>0</v>
      </c>
      <c r="I13" s="3">
        <v>7</v>
      </c>
      <c r="J13" t="s">
        <v>38</v>
      </c>
      <c r="K13" s="3">
        <v>80</v>
      </c>
      <c r="L13" s="3">
        <v>61</v>
      </c>
      <c r="M13" s="3">
        <v>100</v>
      </c>
      <c r="N13" s="3">
        <v>65</v>
      </c>
      <c r="O13" s="3">
        <v>87</v>
      </c>
      <c r="P13" s="3">
        <v>64</v>
      </c>
      <c r="Q13" s="3">
        <v>61</v>
      </c>
    </row>
    <row r="14" spans="1:17" x14ac:dyDescent="0.3">
      <c r="A14">
        <v>13</v>
      </c>
      <c r="B14" t="s">
        <v>61</v>
      </c>
      <c r="C14" t="s">
        <v>62</v>
      </c>
      <c r="D14" t="s">
        <v>63</v>
      </c>
      <c r="E14" t="s">
        <v>25</v>
      </c>
      <c r="F14" t="b">
        <v>1</v>
      </c>
      <c r="G14" s="3">
        <v>7</v>
      </c>
      <c r="H14" s="3" t="b">
        <v>0</v>
      </c>
      <c r="I14" s="3">
        <v>4</v>
      </c>
      <c r="J14" t="s">
        <v>64</v>
      </c>
      <c r="K14" s="3">
        <v>94</v>
      </c>
      <c r="L14" s="3">
        <v>59</v>
      </c>
      <c r="M14" s="3">
        <v>69</v>
      </c>
      <c r="N14" s="3">
        <v>67</v>
      </c>
      <c r="O14" s="3">
        <v>89</v>
      </c>
      <c r="P14" s="3">
        <v>65</v>
      </c>
      <c r="Q14" s="3">
        <v>73</v>
      </c>
    </row>
    <row r="15" spans="1:17" x14ac:dyDescent="0.3">
      <c r="A15">
        <v>14</v>
      </c>
      <c r="B15" t="s">
        <v>65</v>
      </c>
      <c r="C15" t="s">
        <v>66</v>
      </c>
      <c r="D15" t="s">
        <v>67</v>
      </c>
      <c r="E15" t="s">
        <v>25</v>
      </c>
      <c r="F15" t="b">
        <v>0</v>
      </c>
      <c r="G15" s="3">
        <v>10</v>
      </c>
      <c r="H15" s="3" t="b">
        <v>0</v>
      </c>
      <c r="I15" s="3">
        <v>2</v>
      </c>
      <c r="J15" t="s">
        <v>64</v>
      </c>
      <c r="K15" s="3">
        <v>66</v>
      </c>
      <c r="L15" s="3">
        <v>94</v>
      </c>
      <c r="M15" s="3">
        <v>86</v>
      </c>
      <c r="N15" s="3">
        <v>100</v>
      </c>
      <c r="O15" s="3">
        <v>57</v>
      </c>
      <c r="P15" s="3">
        <v>90</v>
      </c>
      <c r="Q15" s="3">
        <v>63</v>
      </c>
    </row>
    <row r="16" spans="1:17" x14ac:dyDescent="0.3">
      <c r="A16">
        <v>15</v>
      </c>
      <c r="B16" t="s">
        <v>68</v>
      </c>
      <c r="C16" t="s">
        <v>66</v>
      </c>
      <c r="D16" t="s">
        <v>69</v>
      </c>
      <c r="E16" t="s">
        <v>25</v>
      </c>
      <c r="F16" t="b">
        <v>0</v>
      </c>
      <c r="G16" s="3">
        <v>3</v>
      </c>
      <c r="H16" s="3" t="b">
        <v>0</v>
      </c>
      <c r="I16" s="3">
        <v>39</v>
      </c>
      <c r="J16" t="s">
        <v>26</v>
      </c>
      <c r="K16" s="3">
        <v>96</v>
      </c>
      <c r="L16" s="3">
        <v>90</v>
      </c>
      <c r="M16" s="3">
        <v>86</v>
      </c>
      <c r="N16" s="3">
        <v>92</v>
      </c>
      <c r="O16" s="3">
        <v>92</v>
      </c>
      <c r="P16" s="3">
        <v>95</v>
      </c>
      <c r="Q16" s="3">
        <v>87</v>
      </c>
    </row>
    <row r="17" spans="1:17" x14ac:dyDescent="0.3">
      <c r="A17">
        <v>16</v>
      </c>
      <c r="B17" t="s">
        <v>70</v>
      </c>
      <c r="C17" t="s">
        <v>71</v>
      </c>
      <c r="D17" t="s">
        <v>72</v>
      </c>
      <c r="E17" t="s">
        <v>20</v>
      </c>
      <c r="F17" t="b">
        <v>0</v>
      </c>
      <c r="G17" s="3">
        <v>6</v>
      </c>
      <c r="H17" s="3" t="b">
        <v>0</v>
      </c>
      <c r="I17" s="3">
        <v>0</v>
      </c>
      <c r="J17" t="s">
        <v>64</v>
      </c>
      <c r="K17" s="3">
        <v>94</v>
      </c>
      <c r="L17" s="3">
        <v>50</v>
      </c>
      <c r="M17" s="3">
        <v>78</v>
      </c>
      <c r="N17" s="3">
        <v>64</v>
      </c>
      <c r="O17" s="3">
        <v>79</v>
      </c>
      <c r="P17" s="3">
        <v>74</v>
      </c>
      <c r="Q17" s="3">
        <v>84</v>
      </c>
    </row>
    <row r="18" spans="1:17" x14ac:dyDescent="0.3">
      <c r="A18">
        <v>17</v>
      </c>
      <c r="B18" t="s">
        <v>73</v>
      </c>
      <c r="C18" t="s">
        <v>74</v>
      </c>
      <c r="D18" t="s">
        <v>75</v>
      </c>
      <c r="E18" t="s">
        <v>25</v>
      </c>
      <c r="F18" t="b">
        <v>0</v>
      </c>
      <c r="G18" s="3">
        <v>3</v>
      </c>
      <c r="H18" s="3" t="b">
        <v>1</v>
      </c>
      <c r="I18" s="3">
        <v>30</v>
      </c>
      <c r="J18" t="s">
        <v>76</v>
      </c>
      <c r="K18" s="3">
        <v>92</v>
      </c>
      <c r="L18" s="3">
        <v>64</v>
      </c>
      <c r="M18" s="3">
        <v>93</v>
      </c>
      <c r="N18" s="3">
        <v>91</v>
      </c>
      <c r="O18" s="3">
        <v>80</v>
      </c>
      <c r="P18" s="3">
        <v>89</v>
      </c>
      <c r="Q18" s="3">
        <v>72</v>
      </c>
    </row>
    <row r="19" spans="1:17" x14ac:dyDescent="0.3">
      <c r="A19">
        <v>18</v>
      </c>
      <c r="B19" t="s">
        <v>77</v>
      </c>
      <c r="C19" t="s">
        <v>78</v>
      </c>
      <c r="D19" t="s">
        <v>79</v>
      </c>
      <c r="E19" t="s">
        <v>20</v>
      </c>
      <c r="F19" t="b">
        <v>0</v>
      </c>
      <c r="G19" s="3">
        <v>2</v>
      </c>
      <c r="H19" s="3" t="b">
        <v>1</v>
      </c>
      <c r="I19" s="3">
        <v>28</v>
      </c>
      <c r="J19" t="s">
        <v>44</v>
      </c>
      <c r="K19" s="3">
        <v>86</v>
      </c>
      <c r="L19" s="3">
        <v>83</v>
      </c>
      <c r="M19" s="3">
        <v>85</v>
      </c>
      <c r="N19" s="3">
        <v>79</v>
      </c>
      <c r="O19" s="3">
        <v>93</v>
      </c>
      <c r="P19" s="3">
        <v>76</v>
      </c>
      <c r="Q19" s="3">
        <v>77</v>
      </c>
    </row>
    <row r="20" spans="1:17" x14ac:dyDescent="0.3">
      <c r="A20">
        <v>19</v>
      </c>
      <c r="B20" t="s">
        <v>80</v>
      </c>
      <c r="C20" t="s">
        <v>81</v>
      </c>
      <c r="D20" t="s">
        <v>82</v>
      </c>
      <c r="E20" t="s">
        <v>20</v>
      </c>
      <c r="F20" t="b">
        <v>0</v>
      </c>
      <c r="G20" s="3">
        <v>1</v>
      </c>
      <c r="H20" s="3" t="b">
        <v>0</v>
      </c>
      <c r="I20" s="3">
        <v>37</v>
      </c>
      <c r="J20" t="s">
        <v>26</v>
      </c>
      <c r="K20" s="3">
        <v>92</v>
      </c>
      <c r="L20" s="3">
        <v>87</v>
      </c>
      <c r="M20" s="3">
        <v>92</v>
      </c>
      <c r="N20" s="3">
        <v>99</v>
      </c>
      <c r="O20" s="3">
        <v>97</v>
      </c>
      <c r="P20" s="3">
        <v>87</v>
      </c>
      <c r="Q20" s="3">
        <v>86</v>
      </c>
    </row>
    <row r="21" spans="1:17" x14ac:dyDescent="0.3">
      <c r="A21">
        <v>20</v>
      </c>
      <c r="B21" t="s">
        <v>83</v>
      </c>
      <c r="C21" t="s">
        <v>84</v>
      </c>
      <c r="D21" t="s">
        <v>85</v>
      </c>
      <c r="E21" t="s">
        <v>25</v>
      </c>
      <c r="F21" t="b">
        <v>0</v>
      </c>
      <c r="G21" s="3">
        <v>2</v>
      </c>
      <c r="H21" s="3" t="b">
        <v>0</v>
      </c>
      <c r="I21" s="3">
        <v>27</v>
      </c>
      <c r="J21" t="s">
        <v>44</v>
      </c>
      <c r="K21" s="3">
        <v>99</v>
      </c>
      <c r="L21" s="3">
        <v>65</v>
      </c>
      <c r="M21" s="3">
        <v>98</v>
      </c>
      <c r="N21" s="3">
        <v>75</v>
      </c>
      <c r="O21" s="3">
        <v>66</v>
      </c>
      <c r="P21" s="3">
        <v>72</v>
      </c>
      <c r="Q21" s="3">
        <v>100</v>
      </c>
    </row>
    <row r="22" spans="1:17" x14ac:dyDescent="0.3">
      <c r="A22">
        <v>21</v>
      </c>
      <c r="B22" t="s">
        <v>86</v>
      </c>
      <c r="C22" t="s">
        <v>87</v>
      </c>
      <c r="D22" t="s">
        <v>88</v>
      </c>
      <c r="E22" t="s">
        <v>20</v>
      </c>
      <c r="F22" t="b">
        <v>1</v>
      </c>
      <c r="G22" s="3">
        <v>3</v>
      </c>
      <c r="H22" s="3" t="b">
        <v>0</v>
      </c>
      <c r="I22" s="3">
        <v>15</v>
      </c>
      <c r="J22" t="s">
        <v>44</v>
      </c>
      <c r="K22" s="3">
        <v>100</v>
      </c>
      <c r="L22" s="3">
        <v>90</v>
      </c>
      <c r="M22" s="3">
        <v>72</v>
      </c>
      <c r="N22" s="3">
        <v>98</v>
      </c>
      <c r="O22" s="3">
        <v>73</v>
      </c>
      <c r="P22" s="3">
        <v>97</v>
      </c>
      <c r="Q22" s="3">
        <v>72</v>
      </c>
    </row>
    <row r="23" spans="1:17" x14ac:dyDescent="0.3">
      <c r="A23">
        <v>22</v>
      </c>
      <c r="B23" t="s">
        <v>89</v>
      </c>
      <c r="C23" t="s">
        <v>90</v>
      </c>
      <c r="D23" t="s">
        <v>91</v>
      </c>
      <c r="E23" t="s">
        <v>20</v>
      </c>
      <c r="F23" t="b">
        <v>0</v>
      </c>
      <c r="G23" s="3">
        <v>8</v>
      </c>
      <c r="H23" s="3" t="b">
        <v>0</v>
      </c>
      <c r="I23" s="3">
        <v>4</v>
      </c>
      <c r="J23" t="s">
        <v>64</v>
      </c>
      <c r="K23" s="3">
        <v>57</v>
      </c>
      <c r="L23" s="3">
        <v>55</v>
      </c>
      <c r="M23" s="3">
        <v>78</v>
      </c>
      <c r="N23" s="3">
        <v>94</v>
      </c>
      <c r="O23" s="3">
        <v>83</v>
      </c>
      <c r="P23" s="3">
        <v>88</v>
      </c>
      <c r="Q23" s="3">
        <v>88</v>
      </c>
    </row>
    <row r="24" spans="1:17" x14ac:dyDescent="0.3">
      <c r="A24">
        <v>23</v>
      </c>
      <c r="B24" t="s">
        <v>92</v>
      </c>
      <c r="C24" t="s">
        <v>52</v>
      </c>
      <c r="D24" t="s">
        <v>93</v>
      </c>
      <c r="E24" t="s">
        <v>25</v>
      </c>
      <c r="F24" t="b">
        <v>0</v>
      </c>
      <c r="G24" s="3">
        <v>9</v>
      </c>
      <c r="H24" s="3" t="b">
        <v>0</v>
      </c>
      <c r="I24" s="3">
        <v>2</v>
      </c>
      <c r="J24" t="s">
        <v>64</v>
      </c>
      <c r="K24" s="3">
        <v>89</v>
      </c>
      <c r="L24" s="3">
        <v>72</v>
      </c>
      <c r="M24" s="3">
        <v>68</v>
      </c>
      <c r="N24" s="3">
        <v>72</v>
      </c>
      <c r="O24" s="3">
        <v>71</v>
      </c>
      <c r="P24" s="3">
        <v>54</v>
      </c>
      <c r="Q24" s="3">
        <v>90</v>
      </c>
    </row>
    <row r="25" spans="1:17" x14ac:dyDescent="0.3">
      <c r="A25">
        <v>24</v>
      </c>
      <c r="B25" t="s">
        <v>94</v>
      </c>
      <c r="C25" t="s">
        <v>95</v>
      </c>
      <c r="D25" t="s">
        <v>96</v>
      </c>
      <c r="E25" t="s">
        <v>20</v>
      </c>
      <c r="F25" t="b">
        <v>0</v>
      </c>
      <c r="G25" s="3">
        <v>9</v>
      </c>
      <c r="H25" s="3" t="b">
        <v>0</v>
      </c>
      <c r="I25" s="3">
        <v>1</v>
      </c>
      <c r="J25" t="s">
        <v>64</v>
      </c>
      <c r="K25" s="3">
        <v>50</v>
      </c>
      <c r="L25" s="3">
        <v>76</v>
      </c>
      <c r="M25" s="3">
        <v>81</v>
      </c>
      <c r="N25" s="3">
        <v>55</v>
      </c>
      <c r="O25" s="3">
        <v>56</v>
      </c>
      <c r="P25" s="3">
        <v>80</v>
      </c>
      <c r="Q25" s="3">
        <v>79</v>
      </c>
    </row>
    <row r="26" spans="1:17" x14ac:dyDescent="0.3">
      <c r="A26">
        <v>25</v>
      </c>
      <c r="B26" t="s">
        <v>97</v>
      </c>
      <c r="C26" t="s">
        <v>98</v>
      </c>
      <c r="D26" t="s">
        <v>99</v>
      </c>
      <c r="E26" t="s">
        <v>25</v>
      </c>
      <c r="F26" t="b">
        <v>0</v>
      </c>
      <c r="G26" s="3">
        <v>4</v>
      </c>
      <c r="H26" s="3" t="b">
        <v>0</v>
      </c>
      <c r="I26" s="3">
        <v>35</v>
      </c>
      <c r="J26" t="s">
        <v>44</v>
      </c>
      <c r="K26" s="3">
        <v>87</v>
      </c>
      <c r="L26" s="3">
        <v>91</v>
      </c>
      <c r="M26" s="3">
        <v>90</v>
      </c>
      <c r="N26" s="3">
        <v>88</v>
      </c>
      <c r="O26" s="3">
        <v>95</v>
      </c>
      <c r="P26" s="3">
        <v>88</v>
      </c>
      <c r="Q26" s="3">
        <v>93</v>
      </c>
    </row>
    <row r="27" spans="1:17" x14ac:dyDescent="0.3">
      <c r="A27">
        <v>26</v>
      </c>
      <c r="B27" t="s">
        <v>61</v>
      </c>
      <c r="C27" t="s">
        <v>100</v>
      </c>
      <c r="D27" t="s">
        <v>101</v>
      </c>
      <c r="E27" t="s">
        <v>25</v>
      </c>
      <c r="F27" t="b">
        <v>0</v>
      </c>
      <c r="G27" s="3">
        <v>5</v>
      </c>
      <c r="H27" s="3" t="b">
        <v>0</v>
      </c>
      <c r="I27" s="3">
        <v>22</v>
      </c>
      <c r="J27" t="s">
        <v>26</v>
      </c>
      <c r="K27" s="3">
        <v>92</v>
      </c>
      <c r="L27" s="3">
        <v>86</v>
      </c>
      <c r="M27" s="3">
        <v>87</v>
      </c>
      <c r="N27" s="3">
        <v>81</v>
      </c>
      <c r="O27" s="3">
        <v>93</v>
      </c>
      <c r="P27" s="3">
        <v>90</v>
      </c>
      <c r="Q27" s="3">
        <v>99</v>
      </c>
    </row>
    <row r="28" spans="1:17" x14ac:dyDescent="0.3">
      <c r="A28">
        <v>27</v>
      </c>
      <c r="B28" t="s">
        <v>102</v>
      </c>
      <c r="C28" t="s">
        <v>103</v>
      </c>
      <c r="D28" t="s">
        <v>104</v>
      </c>
      <c r="E28" t="s">
        <v>20</v>
      </c>
      <c r="F28" t="b">
        <v>0</v>
      </c>
      <c r="G28" s="3">
        <v>3</v>
      </c>
      <c r="H28" s="3" t="b">
        <v>0</v>
      </c>
      <c r="I28" s="3">
        <v>34</v>
      </c>
      <c r="J28" t="s">
        <v>105</v>
      </c>
      <c r="K28" s="3">
        <v>100</v>
      </c>
      <c r="L28" s="3">
        <v>77</v>
      </c>
      <c r="M28" s="3">
        <v>80</v>
      </c>
      <c r="N28" s="3">
        <v>94</v>
      </c>
      <c r="O28" s="3">
        <v>63</v>
      </c>
      <c r="P28" s="3">
        <v>90</v>
      </c>
      <c r="Q28" s="3">
        <v>90</v>
      </c>
    </row>
    <row r="29" spans="1:17" x14ac:dyDescent="0.3">
      <c r="A29">
        <v>28</v>
      </c>
      <c r="B29" t="s">
        <v>106</v>
      </c>
      <c r="C29" t="s">
        <v>107</v>
      </c>
      <c r="D29" t="s">
        <v>108</v>
      </c>
      <c r="E29" t="s">
        <v>20</v>
      </c>
      <c r="F29" t="b">
        <v>0</v>
      </c>
      <c r="G29" s="3">
        <v>0</v>
      </c>
      <c r="H29" s="3" t="b">
        <v>0</v>
      </c>
      <c r="I29" s="3">
        <v>23</v>
      </c>
      <c r="J29" t="s">
        <v>109</v>
      </c>
      <c r="K29" s="3">
        <v>64</v>
      </c>
      <c r="L29" s="3">
        <v>75</v>
      </c>
      <c r="M29" s="3">
        <v>93</v>
      </c>
      <c r="N29" s="3">
        <v>79</v>
      </c>
      <c r="O29" s="3">
        <v>81</v>
      </c>
      <c r="P29" s="3">
        <v>96</v>
      </c>
      <c r="Q29" s="3">
        <v>85</v>
      </c>
    </row>
    <row r="30" spans="1:17" x14ac:dyDescent="0.3">
      <c r="A30">
        <v>29</v>
      </c>
      <c r="B30" t="s">
        <v>110</v>
      </c>
      <c r="C30" t="s">
        <v>111</v>
      </c>
      <c r="D30" t="s">
        <v>112</v>
      </c>
      <c r="E30" t="s">
        <v>20</v>
      </c>
      <c r="F30" t="b">
        <v>0</v>
      </c>
      <c r="G30" s="3">
        <v>1</v>
      </c>
      <c r="H30" s="3" t="b">
        <v>1</v>
      </c>
      <c r="I30" s="3">
        <v>17</v>
      </c>
      <c r="J30" t="s">
        <v>113</v>
      </c>
      <c r="K30" s="3">
        <v>79</v>
      </c>
      <c r="L30" s="3">
        <v>65</v>
      </c>
      <c r="M30" s="3">
        <v>99</v>
      </c>
      <c r="N30" s="3">
        <v>71</v>
      </c>
      <c r="O30" s="3">
        <v>76</v>
      </c>
      <c r="P30" s="3">
        <v>77</v>
      </c>
      <c r="Q30" s="3">
        <v>83</v>
      </c>
    </row>
    <row r="31" spans="1:17" x14ac:dyDescent="0.3">
      <c r="A31">
        <v>30</v>
      </c>
      <c r="B31" t="s">
        <v>114</v>
      </c>
      <c r="C31" t="s">
        <v>115</v>
      </c>
      <c r="D31" t="s">
        <v>116</v>
      </c>
      <c r="E31" t="s">
        <v>25</v>
      </c>
      <c r="F31" t="b">
        <v>0</v>
      </c>
      <c r="G31" s="3">
        <v>3</v>
      </c>
      <c r="H31" s="3" t="b">
        <v>0</v>
      </c>
      <c r="I31" s="3">
        <v>19</v>
      </c>
      <c r="J31" t="s">
        <v>113</v>
      </c>
      <c r="K31" s="3">
        <v>82</v>
      </c>
      <c r="L31" s="3">
        <v>100</v>
      </c>
      <c r="M31" s="3">
        <v>61</v>
      </c>
      <c r="N31" s="3">
        <v>97</v>
      </c>
      <c r="O31" s="3">
        <v>30</v>
      </c>
      <c r="P31" s="3">
        <v>74</v>
      </c>
      <c r="Q31" s="3">
        <v>73</v>
      </c>
    </row>
    <row r="32" spans="1:17" x14ac:dyDescent="0.3">
      <c r="A32">
        <v>31</v>
      </c>
      <c r="B32" t="s">
        <v>117</v>
      </c>
      <c r="C32" t="s">
        <v>118</v>
      </c>
      <c r="D32" t="s">
        <v>119</v>
      </c>
      <c r="E32" t="s">
        <v>25</v>
      </c>
      <c r="F32" t="b">
        <v>0</v>
      </c>
      <c r="G32" s="3">
        <v>0</v>
      </c>
      <c r="H32" s="3" t="b">
        <v>0</v>
      </c>
      <c r="I32" s="3">
        <v>14</v>
      </c>
      <c r="J32" t="s">
        <v>44</v>
      </c>
      <c r="K32" s="3">
        <v>88</v>
      </c>
      <c r="L32" s="3">
        <v>69</v>
      </c>
      <c r="M32" s="3">
        <v>87</v>
      </c>
      <c r="N32" s="3">
        <v>100</v>
      </c>
      <c r="O32" s="3">
        <v>88</v>
      </c>
      <c r="P32" s="3">
        <v>85</v>
      </c>
      <c r="Q32" s="3">
        <v>72</v>
      </c>
    </row>
    <row r="33" spans="1:17" x14ac:dyDescent="0.3">
      <c r="A33">
        <v>32</v>
      </c>
      <c r="B33" t="s">
        <v>120</v>
      </c>
      <c r="C33" t="s">
        <v>121</v>
      </c>
      <c r="D33" t="s">
        <v>122</v>
      </c>
      <c r="E33" t="s">
        <v>25</v>
      </c>
      <c r="F33" t="b">
        <v>0</v>
      </c>
      <c r="G33" s="3">
        <v>4</v>
      </c>
      <c r="H33" s="3" t="b">
        <v>0</v>
      </c>
      <c r="I33" s="3">
        <v>30</v>
      </c>
      <c r="J33" t="s">
        <v>123</v>
      </c>
      <c r="K33" s="3">
        <v>70</v>
      </c>
      <c r="L33" s="3">
        <v>68</v>
      </c>
      <c r="M33" s="3">
        <v>92</v>
      </c>
      <c r="N33" s="3">
        <v>74</v>
      </c>
      <c r="O33" s="3">
        <v>82</v>
      </c>
      <c r="P33" s="3">
        <v>85</v>
      </c>
      <c r="Q33" s="3">
        <v>72</v>
      </c>
    </row>
    <row r="34" spans="1:17" x14ac:dyDescent="0.3">
      <c r="A34">
        <v>33</v>
      </c>
      <c r="B34" t="s">
        <v>124</v>
      </c>
      <c r="C34" t="s">
        <v>125</v>
      </c>
      <c r="D34" t="s">
        <v>126</v>
      </c>
      <c r="E34" t="s">
        <v>20</v>
      </c>
      <c r="F34" t="b">
        <v>0</v>
      </c>
      <c r="G34" s="3">
        <v>4</v>
      </c>
      <c r="H34" s="3" t="b">
        <v>0</v>
      </c>
      <c r="I34" s="3">
        <v>30</v>
      </c>
      <c r="J34" t="s">
        <v>113</v>
      </c>
      <c r="K34" s="3">
        <v>77</v>
      </c>
      <c r="L34" s="3">
        <v>96</v>
      </c>
      <c r="M34" s="3">
        <v>98</v>
      </c>
      <c r="N34" s="3">
        <v>89</v>
      </c>
      <c r="O34" s="3">
        <v>85</v>
      </c>
      <c r="P34" s="3">
        <v>62</v>
      </c>
      <c r="Q34" s="3">
        <v>62</v>
      </c>
    </row>
    <row r="35" spans="1:17" x14ac:dyDescent="0.3">
      <c r="A35">
        <v>34</v>
      </c>
      <c r="B35" t="s">
        <v>127</v>
      </c>
      <c r="C35" t="s">
        <v>128</v>
      </c>
      <c r="D35" t="s">
        <v>129</v>
      </c>
      <c r="E35" t="s">
        <v>25</v>
      </c>
      <c r="F35" t="b">
        <v>0</v>
      </c>
      <c r="G35" s="3">
        <v>1</v>
      </c>
      <c r="H35" s="3" t="b">
        <v>0</v>
      </c>
      <c r="I35" s="3">
        <v>24</v>
      </c>
      <c r="J35" t="s">
        <v>105</v>
      </c>
      <c r="K35" s="3">
        <v>99</v>
      </c>
      <c r="L35" s="3">
        <v>84</v>
      </c>
      <c r="M35" s="3">
        <v>84</v>
      </c>
      <c r="N35" s="3">
        <v>78</v>
      </c>
      <c r="O35" s="3">
        <v>78</v>
      </c>
      <c r="P35" s="3">
        <v>77</v>
      </c>
      <c r="Q35" s="3">
        <v>68</v>
      </c>
    </row>
    <row r="36" spans="1:17" x14ac:dyDescent="0.3">
      <c r="A36">
        <v>35</v>
      </c>
      <c r="B36" t="s">
        <v>130</v>
      </c>
      <c r="C36" t="s">
        <v>131</v>
      </c>
      <c r="D36" t="s">
        <v>132</v>
      </c>
      <c r="E36" t="s">
        <v>25</v>
      </c>
      <c r="F36" t="b">
        <v>0</v>
      </c>
      <c r="G36" s="3">
        <v>3</v>
      </c>
      <c r="H36" s="3" t="b">
        <v>1</v>
      </c>
      <c r="I36" s="3">
        <v>31</v>
      </c>
      <c r="J36" t="s">
        <v>38</v>
      </c>
      <c r="K36" s="3">
        <v>90</v>
      </c>
      <c r="L36" s="3">
        <v>93</v>
      </c>
      <c r="M36" s="3">
        <v>91</v>
      </c>
      <c r="N36" s="3">
        <v>80</v>
      </c>
      <c r="O36" s="3">
        <v>86</v>
      </c>
      <c r="P36" s="3">
        <v>69</v>
      </c>
      <c r="Q36" s="3">
        <v>62</v>
      </c>
    </row>
    <row r="37" spans="1:17" x14ac:dyDescent="0.3">
      <c r="A37">
        <v>36</v>
      </c>
      <c r="B37" t="s">
        <v>39</v>
      </c>
      <c r="C37" t="s">
        <v>133</v>
      </c>
      <c r="D37" t="s">
        <v>134</v>
      </c>
      <c r="E37" t="s">
        <v>25</v>
      </c>
      <c r="F37" t="b">
        <v>0</v>
      </c>
      <c r="G37" s="3">
        <v>1</v>
      </c>
      <c r="H37" s="3" t="b">
        <v>0</v>
      </c>
      <c r="I37" s="3">
        <v>21</v>
      </c>
      <c r="J37" t="s">
        <v>38</v>
      </c>
      <c r="K37" s="3">
        <v>65</v>
      </c>
      <c r="L37" s="3">
        <v>70</v>
      </c>
      <c r="M37" s="3">
        <v>78</v>
      </c>
      <c r="N37" s="3">
        <v>98</v>
      </c>
      <c r="O37" s="3">
        <v>80</v>
      </c>
      <c r="P37" s="3">
        <v>66</v>
      </c>
      <c r="Q37" s="3">
        <v>65</v>
      </c>
    </row>
    <row r="38" spans="1:17" x14ac:dyDescent="0.3">
      <c r="A38">
        <v>37</v>
      </c>
      <c r="B38" t="s">
        <v>135</v>
      </c>
      <c r="C38" t="s">
        <v>136</v>
      </c>
      <c r="D38" t="s">
        <v>137</v>
      </c>
      <c r="E38" t="s">
        <v>20</v>
      </c>
      <c r="F38" t="b">
        <v>0</v>
      </c>
      <c r="G38" s="3">
        <v>2</v>
      </c>
      <c r="H38" s="3" t="b">
        <v>1</v>
      </c>
      <c r="I38" s="3">
        <v>19</v>
      </c>
      <c r="J38" t="s">
        <v>138</v>
      </c>
      <c r="K38" s="3">
        <v>99</v>
      </c>
      <c r="L38" s="3">
        <v>94</v>
      </c>
      <c r="M38" s="3">
        <v>87</v>
      </c>
      <c r="N38" s="3">
        <v>71</v>
      </c>
      <c r="O38" s="3">
        <v>89</v>
      </c>
      <c r="P38" s="3">
        <v>91</v>
      </c>
      <c r="Q38" s="3">
        <v>96</v>
      </c>
    </row>
    <row r="39" spans="1:17" x14ac:dyDescent="0.3">
      <c r="A39">
        <v>38</v>
      </c>
      <c r="B39" t="s">
        <v>139</v>
      </c>
      <c r="C39" t="s">
        <v>140</v>
      </c>
      <c r="D39" t="s">
        <v>141</v>
      </c>
      <c r="E39" t="s">
        <v>20</v>
      </c>
      <c r="F39" t="b">
        <v>0</v>
      </c>
      <c r="G39" s="3">
        <v>1</v>
      </c>
      <c r="H39" s="3" t="b">
        <v>0</v>
      </c>
      <c r="I39" s="3">
        <v>29</v>
      </c>
      <c r="J39" t="s">
        <v>138</v>
      </c>
      <c r="K39" s="3">
        <v>92</v>
      </c>
      <c r="L39" s="3">
        <v>100</v>
      </c>
      <c r="M39" s="3">
        <v>85</v>
      </c>
      <c r="N39" s="3">
        <v>89</v>
      </c>
      <c r="O39" s="3">
        <v>81</v>
      </c>
      <c r="P39" s="3">
        <v>91</v>
      </c>
      <c r="Q39" s="3">
        <v>88</v>
      </c>
    </row>
    <row r="40" spans="1:17" x14ac:dyDescent="0.3">
      <c r="A40">
        <v>39</v>
      </c>
      <c r="B40" t="s">
        <v>142</v>
      </c>
      <c r="C40" t="s">
        <v>143</v>
      </c>
      <c r="D40" t="s">
        <v>144</v>
      </c>
      <c r="E40" t="s">
        <v>20</v>
      </c>
      <c r="F40" t="b">
        <v>0</v>
      </c>
      <c r="G40" s="3">
        <v>4</v>
      </c>
      <c r="H40" s="3" t="b">
        <v>0</v>
      </c>
      <c r="I40" s="3">
        <v>21</v>
      </c>
      <c r="J40" t="s">
        <v>105</v>
      </c>
      <c r="K40" s="3">
        <v>77</v>
      </c>
      <c r="L40" s="3">
        <v>64</v>
      </c>
      <c r="M40" s="3">
        <v>64</v>
      </c>
      <c r="N40" s="3">
        <v>88</v>
      </c>
      <c r="O40" s="3">
        <v>94</v>
      </c>
      <c r="P40" s="3">
        <v>82</v>
      </c>
      <c r="Q40" s="3">
        <v>78</v>
      </c>
    </row>
    <row r="41" spans="1:17" x14ac:dyDescent="0.3">
      <c r="A41">
        <v>40</v>
      </c>
      <c r="B41" t="s">
        <v>145</v>
      </c>
      <c r="C41" t="s">
        <v>146</v>
      </c>
      <c r="D41" t="s">
        <v>147</v>
      </c>
      <c r="E41" t="s">
        <v>20</v>
      </c>
      <c r="F41" t="b">
        <v>0</v>
      </c>
      <c r="G41" s="3">
        <v>4</v>
      </c>
      <c r="H41" s="3" t="b">
        <v>0</v>
      </c>
      <c r="I41" s="3">
        <v>18</v>
      </c>
      <c r="J41" t="s">
        <v>113</v>
      </c>
      <c r="K41" s="3">
        <v>92</v>
      </c>
      <c r="L41" s="3">
        <v>60</v>
      </c>
      <c r="M41" s="3">
        <v>66</v>
      </c>
      <c r="N41" s="3">
        <v>87</v>
      </c>
      <c r="O41" s="3">
        <v>60</v>
      </c>
      <c r="P41" s="3">
        <v>83</v>
      </c>
      <c r="Q41" s="3">
        <v>95</v>
      </c>
    </row>
    <row r="42" spans="1:17" x14ac:dyDescent="0.3">
      <c r="A42">
        <v>41</v>
      </c>
      <c r="B42" t="s">
        <v>148</v>
      </c>
      <c r="C42" t="s">
        <v>149</v>
      </c>
      <c r="D42" t="s">
        <v>150</v>
      </c>
      <c r="E42" t="s">
        <v>25</v>
      </c>
      <c r="F42" t="b">
        <v>0</v>
      </c>
      <c r="G42" s="3">
        <v>4</v>
      </c>
      <c r="H42" s="3" t="b">
        <v>0</v>
      </c>
      <c r="I42" s="3">
        <v>31</v>
      </c>
      <c r="J42" t="s">
        <v>44</v>
      </c>
      <c r="K42" s="3">
        <v>85</v>
      </c>
      <c r="L42" s="3">
        <v>97</v>
      </c>
      <c r="M42" s="3">
        <v>64</v>
      </c>
      <c r="N42" s="3">
        <v>90</v>
      </c>
      <c r="O42" s="3">
        <v>79</v>
      </c>
      <c r="P42" s="3">
        <v>81</v>
      </c>
      <c r="Q42" s="3">
        <v>81</v>
      </c>
    </row>
    <row r="43" spans="1:17" x14ac:dyDescent="0.3">
      <c r="A43">
        <v>42</v>
      </c>
      <c r="B43" t="s">
        <v>151</v>
      </c>
      <c r="C43" t="s">
        <v>152</v>
      </c>
      <c r="D43" t="s">
        <v>153</v>
      </c>
      <c r="E43" t="s">
        <v>20</v>
      </c>
      <c r="F43" t="b">
        <v>1</v>
      </c>
      <c r="G43" s="3">
        <v>7</v>
      </c>
      <c r="H43" s="3" t="b">
        <v>0</v>
      </c>
      <c r="I43" s="3">
        <v>4</v>
      </c>
      <c r="J43" t="s">
        <v>64</v>
      </c>
      <c r="K43" s="3">
        <v>65</v>
      </c>
      <c r="L43" s="3">
        <v>55</v>
      </c>
      <c r="M43" s="3">
        <v>66</v>
      </c>
      <c r="N43" s="3">
        <v>50</v>
      </c>
      <c r="O43" s="3">
        <v>88</v>
      </c>
      <c r="P43" s="3">
        <v>56</v>
      </c>
      <c r="Q43" s="3">
        <v>86</v>
      </c>
    </row>
    <row r="44" spans="1:17" x14ac:dyDescent="0.3">
      <c r="A44">
        <v>43</v>
      </c>
      <c r="B44" t="s">
        <v>154</v>
      </c>
      <c r="C44" t="s">
        <v>155</v>
      </c>
      <c r="D44" t="s">
        <v>156</v>
      </c>
      <c r="E44" t="s">
        <v>25</v>
      </c>
      <c r="F44" t="b">
        <v>1</v>
      </c>
      <c r="G44" s="3">
        <v>6</v>
      </c>
      <c r="H44" s="3" t="b">
        <v>0</v>
      </c>
      <c r="I44" s="3">
        <v>3</v>
      </c>
      <c r="J44" t="s">
        <v>64</v>
      </c>
      <c r="K44" s="3">
        <v>93</v>
      </c>
      <c r="L44" s="3">
        <v>94</v>
      </c>
      <c r="M44" s="3">
        <v>92</v>
      </c>
      <c r="N44" s="3">
        <v>77</v>
      </c>
      <c r="O44" s="3">
        <v>87</v>
      </c>
      <c r="P44" s="3">
        <v>98</v>
      </c>
      <c r="Q44" s="3">
        <v>63</v>
      </c>
    </row>
    <row r="45" spans="1:17" x14ac:dyDescent="0.3">
      <c r="A45">
        <v>44</v>
      </c>
      <c r="B45" t="s">
        <v>65</v>
      </c>
      <c r="C45" t="s">
        <v>157</v>
      </c>
      <c r="D45" t="s">
        <v>158</v>
      </c>
      <c r="E45" t="s">
        <v>25</v>
      </c>
      <c r="F45" t="b">
        <v>0</v>
      </c>
      <c r="G45" s="3">
        <v>4</v>
      </c>
      <c r="H45" s="3" t="b">
        <v>0</v>
      </c>
      <c r="I45" s="3">
        <v>3</v>
      </c>
      <c r="J45" t="s">
        <v>159</v>
      </c>
      <c r="K45" s="3">
        <v>97</v>
      </c>
      <c r="L45" s="3">
        <v>99</v>
      </c>
      <c r="M45" s="3">
        <v>85</v>
      </c>
      <c r="N45" s="3">
        <v>96</v>
      </c>
      <c r="O45" s="3">
        <v>91</v>
      </c>
      <c r="P45" s="3">
        <v>68</v>
      </c>
      <c r="Q45" s="3">
        <v>66</v>
      </c>
    </row>
    <row r="46" spans="1:17" x14ac:dyDescent="0.3">
      <c r="A46">
        <v>45</v>
      </c>
      <c r="B46" t="s">
        <v>160</v>
      </c>
      <c r="C46" t="s">
        <v>161</v>
      </c>
      <c r="D46" t="s">
        <v>162</v>
      </c>
      <c r="E46" t="s">
        <v>20</v>
      </c>
      <c r="F46" t="b">
        <v>1</v>
      </c>
      <c r="G46" s="3">
        <v>4</v>
      </c>
      <c r="H46" s="3" t="b">
        <v>0</v>
      </c>
      <c r="I46" s="3">
        <v>3</v>
      </c>
      <c r="J46" t="s">
        <v>64</v>
      </c>
      <c r="K46" s="3">
        <v>54</v>
      </c>
      <c r="L46" s="3">
        <v>99</v>
      </c>
      <c r="M46" s="3">
        <v>79</v>
      </c>
      <c r="N46" s="3">
        <v>57</v>
      </c>
      <c r="O46" s="3">
        <v>53</v>
      </c>
      <c r="P46" s="3">
        <v>95</v>
      </c>
      <c r="Q46" s="3">
        <v>83</v>
      </c>
    </row>
    <row r="47" spans="1:17" x14ac:dyDescent="0.3">
      <c r="A47">
        <v>46</v>
      </c>
      <c r="B47" t="s">
        <v>163</v>
      </c>
      <c r="C47" t="s">
        <v>164</v>
      </c>
      <c r="D47" t="s">
        <v>165</v>
      </c>
      <c r="E47" t="s">
        <v>20</v>
      </c>
      <c r="F47" t="b">
        <v>1</v>
      </c>
      <c r="G47" s="3">
        <v>5</v>
      </c>
      <c r="H47" s="3" t="b">
        <v>1</v>
      </c>
      <c r="I47" s="3">
        <v>5</v>
      </c>
      <c r="J47" t="s">
        <v>64</v>
      </c>
      <c r="K47" s="3">
        <v>88</v>
      </c>
      <c r="L47" s="3">
        <v>53</v>
      </c>
      <c r="M47" s="3">
        <v>50</v>
      </c>
      <c r="N47" s="3">
        <v>58</v>
      </c>
      <c r="O47" s="3">
        <v>84</v>
      </c>
      <c r="P47" s="3">
        <v>53</v>
      </c>
      <c r="Q47" s="3">
        <v>96</v>
      </c>
    </row>
    <row r="48" spans="1:17" x14ac:dyDescent="0.3">
      <c r="A48">
        <v>47</v>
      </c>
      <c r="B48" t="s">
        <v>166</v>
      </c>
      <c r="C48" t="s">
        <v>167</v>
      </c>
      <c r="D48" t="s">
        <v>168</v>
      </c>
      <c r="E48" t="s">
        <v>25</v>
      </c>
      <c r="F48" t="b">
        <v>0</v>
      </c>
      <c r="G48" s="3">
        <v>5</v>
      </c>
      <c r="H48" s="3" t="b">
        <v>1</v>
      </c>
      <c r="I48" s="3">
        <v>27</v>
      </c>
      <c r="J48" t="s">
        <v>21</v>
      </c>
      <c r="K48" s="3">
        <v>71</v>
      </c>
      <c r="L48" s="3">
        <v>85</v>
      </c>
      <c r="M48" s="3">
        <v>93</v>
      </c>
      <c r="N48" s="3">
        <v>68</v>
      </c>
      <c r="O48" s="3">
        <v>100</v>
      </c>
      <c r="P48" s="3">
        <v>91</v>
      </c>
      <c r="Q48" s="3">
        <v>87</v>
      </c>
    </row>
    <row r="49" spans="1:17" x14ac:dyDescent="0.3">
      <c r="A49">
        <v>48</v>
      </c>
      <c r="B49" t="s">
        <v>169</v>
      </c>
      <c r="C49" t="s">
        <v>170</v>
      </c>
      <c r="D49" t="s">
        <v>171</v>
      </c>
      <c r="E49" t="s">
        <v>20</v>
      </c>
      <c r="F49" t="b">
        <v>0</v>
      </c>
      <c r="G49" s="3">
        <v>0</v>
      </c>
      <c r="H49" s="3" t="b">
        <v>1</v>
      </c>
      <c r="I49" s="3">
        <v>28</v>
      </c>
      <c r="J49" t="s">
        <v>172</v>
      </c>
      <c r="K49" s="3">
        <v>81</v>
      </c>
      <c r="L49" s="3">
        <v>98</v>
      </c>
      <c r="M49" s="3">
        <v>74</v>
      </c>
      <c r="N49" s="3">
        <v>70</v>
      </c>
      <c r="O49" s="3">
        <v>97</v>
      </c>
      <c r="P49" s="3">
        <v>65</v>
      </c>
      <c r="Q49" s="3">
        <v>65</v>
      </c>
    </row>
    <row r="50" spans="1:17" x14ac:dyDescent="0.3">
      <c r="A50">
        <v>49</v>
      </c>
      <c r="B50" t="s">
        <v>173</v>
      </c>
      <c r="C50" t="s">
        <v>39</v>
      </c>
      <c r="D50" t="s">
        <v>174</v>
      </c>
      <c r="E50" t="s">
        <v>25</v>
      </c>
      <c r="F50" t="b">
        <v>0</v>
      </c>
      <c r="G50" s="3">
        <v>4</v>
      </c>
      <c r="H50" s="3" t="b">
        <v>0</v>
      </c>
      <c r="I50" s="3">
        <v>32</v>
      </c>
      <c r="J50" t="s">
        <v>38</v>
      </c>
      <c r="K50" s="3">
        <v>80</v>
      </c>
      <c r="L50" s="3">
        <v>78</v>
      </c>
      <c r="M50" s="3">
        <v>86</v>
      </c>
      <c r="N50" s="3">
        <v>80</v>
      </c>
      <c r="O50" s="3">
        <v>64</v>
      </c>
      <c r="P50" s="3">
        <v>68</v>
      </c>
      <c r="Q50" s="3">
        <v>100</v>
      </c>
    </row>
    <row r="51" spans="1:17" x14ac:dyDescent="0.3">
      <c r="A51">
        <v>50</v>
      </c>
      <c r="B51" t="s">
        <v>175</v>
      </c>
      <c r="C51" t="s">
        <v>176</v>
      </c>
      <c r="D51" t="s">
        <v>177</v>
      </c>
      <c r="E51" t="s">
        <v>25</v>
      </c>
      <c r="F51" t="b">
        <v>0</v>
      </c>
      <c r="G51" s="3">
        <v>0</v>
      </c>
      <c r="H51" s="3" t="b">
        <v>0</v>
      </c>
      <c r="I51" s="3">
        <v>14</v>
      </c>
      <c r="J51" t="s">
        <v>113</v>
      </c>
      <c r="K51" s="3">
        <v>100</v>
      </c>
      <c r="L51" s="3">
        <v>89</v>
      </c>
      <c r="M51" s="3">
        <v>90</v>
      </c>
      <c r="N51" s="3">
        <v>93</v>
      </c>
      <c r="O51" s="3">
        <v>30</v>
      </c>
      <c r="P51" s="3">
        <v>83</v>
      </c>
      <c r="Q51" s="3">
        <v>74</v>
      </c>
    </row>
    <row r="52" spans="1:17" x14ac:dyDescent="0.3">
      <c r="A52">
        <v>51</v>
      </c>
      <c r="B52" t="s">
        <v>145</v>
      </c>
      <c r="C52" t="s">
        <v>178</v>
      </c>
      <c r="D52" t="s">
        <v>179</v>
      </c>
      <c r="E52" t="s">
        <v>20</v>
      </c>
      <c r="F52" t="b">
        <v>0</v>
      </c>
      <c r="G52" s="3">
        <v>6</v>
      </c>
      <c r="H52" s="3" t="b">
        <v>1</v>
      </c>
      <c r="I52" s="3">
        <v>16</v>
      </c>
      <c r="J52" t="s">
        <v>172</v>
      </c>
      <c r="K52" s="3">
        <v>76</v>
      </c>
      <c r="L52" s="3">
        <v>72</v>
      </c>
      <c r="M52" s="3">
        <v>96</v>
      </c>
      <c r="N52" s="3">
        <v>65</v>
      </c>
      <c r="O52" s="3">
        <v>89</v>
      </c>
      <c r="P52" s="3">
        <v>87</v>
      </c>
      <c r="Q52" s="3">
        <v>94</v>
      </c>
    </row>
    <row r="53" spans="1:17" x14ac:dyDescent="0.3">
      <c r="A53">
        <v>52</v>
      </c>
      <c r="B53" t="s">
        <v>180</v>
      </c>
      <c r="C53" t="s">
        <v>181</v>
      </c>
      <c r="D53" t="s">
        <v>182</v>
      </c>
      <c r="E53" t="s">
        <v>25</v>
      </c>
      <c r="F53" t="b">
        <v>0</v>
      </c>
      <c r="G53" s="3">
        <v>2</v>
      </c>
      <c r="H53" s="3" t="b">
        <v>0</v>
      </c>
      <c r="I53" s="3">
        <v>24</v>
      </c>
      <c r="J53" t="s">
        <v>21</v>
      </c>
      <c r="K53" s="3">
        <v>99</v>
      </c>
      <c r="L53" s="3">
        <v>81</v>
      </c>
      <c r="M53" s="3">
        <v>73</v>
      </c>
      <c r="N53" s="3">
        <v>70</v>
      </c>
      <c r="O53" s="3">
        <v>85</v>
      </c>
      <c r="P53" s="3">
        <v>86</v>
      </c>
      <c r="Q53" s="3">
        <v>61</v>
      </c>
    </row>
    <row r="54" spans="1:17" x14ac:dyDescent="0.3">
      <c r="A54">
        <v>53</v>
      </c>
      <c r="B54" t="s">
        <v>183</v>
      </c>
      <c r="C54" t="s">
        <v>92</v>
      </c>
      <c r="D54" t="s">
        <v>184</v>
      </c>
      <c r="E54" t="s">
        <v>20</v>
      </c>
      <c r="F54" t="b">
        <v>0</v>
      </c>
      <c r="G54" s="3">
        <v>9</v>
      </c>
      <c r="H54" s="3" t="b">
        <v>0</v>
      </c>
      <c r="I54" s="3">
        <v>0</v>
      </c>
      <c r="J54" t="s">
        <v>64</v>
      </c>
      <c r="K54" s="3">
        <v>64</v>
      </c>
      <c r="L54" s="3">
        <v>70</v>
      </c>
      <c r="M54" s="3">
        <v>61</v>
      </c>
      <c r="N54" s="3">
        <v>81</v>
      </c>
      <c r="O54" s="3">
        <v>82</v>
      </c>
      <c r="P54" s="3">
        <v>51</v>
      </c>
      <c r="Q54" s="3">
        <v>70</v>
      </c>
    </row>
    <row r="55" spans="1:17" x14ac:dyDescent="0.3">
      <c r="A55">
        <v>54</v>
      </c>
      <c r="B55" t="s">
        <v>185</v>
      </c>
      <c r="C55" t="s">
        <v>186</v>
      </c>
      <c r="D55" t="s">
        <v>187</v>
      </c>
      <c r="E55" t="s">
        <v>25</v>
      </c>
      <c r="F55" t="b">
        <v>0</v>
      </c>
      <c r="G55" s="3">
        <v>3</v>
      </c>
      <c r="H55" s="3" t="b">
        <v>0</v>
      </c>
      <c r="I55" s="3">
        <v>32</v>
      </c>
      <c r="J55" t="s">
        <v>105</v>
      </c>
      <c r="K55" s="3">
        <v>90</v>
      </c>
      <c r="L55" s="3">
        <v>96</v>
      </c>
      <c r="M55" s="3">
        <v>86</v>
      </c>
      <c r="N55" s="3">
        <v>61</v>
      </c>
      <c r="O55" s="3">
        <v>89</v>
      </c>
      <c r="P55" s="3">
        <v>98</v>
      </c>
      <c r="Q55" s="3">
        <v>68</v>
      </c>
    </row>
    <row r="56" spans="1:17" x14ac:dyDescent="0.3">
      <c r="A56">
        <v>55</v>
      </c>
      <c r="B56" t="s">
        <v>188</v>
      </c>
      <c r="C56" t="s">
        <v>146</v>
      </c>
      <c r="D56" t="s">
        <v>189</v>
      </c>
      <c r="E56" t="s">
        <v>20</v>
      </c>
      <c r="F56" t="b">
        <v>0</v>
      </c>
      <c r="G56" s="3">
        <v>2</v>
      </c>
      <c r="H56" s="3" t="b">
        <v>0</v>
      </c>
      <c r="I56" s="3">
        <v>3</v>
      </c>
      <c r="J56" t="s">
        <v>159</v>
      </c>
      <c r="K56" s="3">
        <v>85</v>
      </c>
      <c r="L56" s="3">
        <v>100</v>
      </c>
      <c r="M56" s="3">
        <v>92</v>
      </c>
      <c r="N56" s="3">
        <v>68</v>
      </c>
      <c r="O56" s="3">
        <v>60</v>
      </c>
      <c r="P56" s="3">
        <v>77</v>
      </c>
      <c r="Q56" s="3">
        <v>83</v>
      </c>
    </row>
    <row r="57" spans="1:17" x14ac:dyDescent="0.3">
      <c r="A57">
        <v>56</v>
      </c>
      <c r="B57" t="s">
        <v>190</v>
      </c>
      <c r="C57" t="s">
        <v>191</v>
      </c>
      <c r="D57" t="s">
        <v>192</v>
      </c>
      <c r="E57" t="s">
        <v>25</v>
      </c>
      <c r="F57" t="b">
        <v>0</v>
      </c>
      <c r="G57" s="3">
        <v>6</v>
      </c>
      <c r="H57" s="3" t="b">
        <v>0</v>
      </c>
      <c r="I57" s="3">
        <v>31</v>
      </c>
      <c r="J57" t="s">
        <v>44</v>
      </c>
      <c r="K57" s="3">
        <v>91</v>
      </c>
      <c r="L57" s="3">
        <v>60</v>
      </c>
      <c r="M57" s="3">
        <v>84</v>
      </c>
      <c r="N57" s="3">
        <v>88</v>
      </c>
      <c r="O57" s="3">
        <v>76</v>
      </c>
      <c r="P57" s="3">
        <v>71</v>
      </c>
      <c r="Q57" s="3">
        <v>99</v>
      </c>
    </row>
    <row r="58" spans="1:17" x14ac:dyDescent="0.3">
      <c r="A58">
        <v>57</v>
      </c>
      <c r="B58" t="s">
        <v>193</v>
      </c>
      <c r="C58" t="s">
        <v>136</v>
      </c>
      <c r="D58" t="s">
        <v>194</v>
      </c>
      <c r="E58" t="s">
        <v>25</v>
      </c>
      <c r="F58" t="b">
        <v>0</v>
      </c>
      <c r="G58" s="3">
        <v>3</v>
      </c>
      <c r="H58" s="3" t="b">
        <v>0</v>
      </c>
      <c r="I58" s="3">
        <v>21</v>
      </c>
      <c r="J58" t="s">
        <v>38</v>
      </c>
      <c r="K58" s="3">
        <v>95</v>
      </c>
      <c r="L58" s="3">
        <v>72</v>
      </c>
      <c r="M58" s="3">
        <v>79</v>
      </c>
      <c r="N58" s="3">
        <v>86</v>
      </c>
      <c r="O58" s="3">
        <v>87</v>
      </c>
      <c r="P58" s="3">
        <v>81</v>
      </c>
      <c r="Q58" s="3">
        <v>62</v>
      </c>
    </row>
    <row r="59" spans="1:17" x14ac:dyDescent="0.3">
      <c r="A59">
        <v>58</v>
      </c>
      <c r="B59" t="s">
        <v>160</v>
      </c>
      <c r="C59" t="s">
        <v>195</v>
      </c>
      <c r="D59" t="s">
        <v>196</v>
      </c>
      <c r="E59" t="s">
        <v>20</v>
      </c>
      <c r="F59" t="b">
        <v>1</v>
      </c>
      <c r="G59" s="3">
        <v>2</v>
      </c>
      <c r="H59" s="3" t="b">
        <v>0</v>
      </c>
      <c r="I59" s="3">
        <v>18</v>
      </c>
      <c r="J59" t="s">
        <v>105</v>
      </c>
      <c r="K59" s="3">
        <v>94</v>
      </c>
      <c r="L59" s="3">
        <v>78</v>
      </c>
      <c r="M59" s="3">
        <v>73</v>
      </c>
      <c r="N59" s="3">
        <v>97</v>
      </c>
      <c r="O59" s="3">
        <v>67</v>
      </c>
      <c r="P59" s="3">
        <v>78</v>
      </c>
      <c r="Q59" s="3">
        <v>99</v>
      </c>
    </row>
    <row r="60" spans="1:17" x14ac:dyDescent="0.3">
      <c r="A60">
        <v>59</v>
      </c>
      <c r="B60" t="s">
        <v>197</v>
      </c>
      <c r="C60" t="s">
        <v>198</v>
      </c>
      <c r="D60" t="s">
        <v>199</v>
      </c>
      <c r="E60" t="s">
        <v>20</v>
      </c>
      <c r="F60" t="b">
        <v>0</v>
      </c>
      <c r="G60" s="3">
        <v>7</v>
      </c>
      <c r="H60" s="3" t="b">
        <v>0</v>
      </c>
      <c r="I60" s="3">
        <v>26</v>
      </c>
      <c r="J60" t="s">
        <v>44</v>
      </c>
      <c r="K60" s="3">
        <v>94</v>
      </c>
      <c r="L60" s="3">
        <v>89</v>
      </c>
      <c r="M60" s="3">
        <v>64</v>
      </c>
      <c r="N60" s="3">
        <v>96</v>
      </c>
      <c r="O60" s="3">
        <v>91</v>
      </c>
      <c r="P60" s="3">
        <v>95</v>
      </c>
      <c r="Q60" s="3">
        <v>77</v>
      </c>
    </row>
    <row r="61" spans="1:17" x14ac:dyDescent="0.3">
      <c r="A61">
        <v>60</v>
      </c>
      <c r="B61" t="s">
        <v>18</v>
      </c>
      <c r="C61" t="s">
        <v>200</v>
      </c>
      <c r="D61" t="s">
        <v>201</v>
      </c>
      <c r="E61" t="s">
        <v>20</v>
      </c>
      <c r="F61" t="b">
        <v>0</v>
      </c>
      <c r="G61" s="3">
        <v>4</v>
      </c>
      <c r="H61" s="3" t="b">
        <v>0</v>
      </c>
      <c r="I61" s="3">
        <v>23</v>
      </c>
      <c r="J61" t="s">
        <v>44</v>
      </c>
      <c r="K61" s="3">
        <v>89</v>
      </c>
      <c r="L61" s="3">
        <v>99</v>
      </c>
      <c r="M61" s="3">
        <v>90</v>
      </c>
      <c r="N61" s="3">
        <v>79</v>
      </c>
      <c r="O61" s="3">
        <v>85</v>
      </c>
      <c r="P61" s="3">
        <v>96</v>
      </c>
      <c r="Q61" s="3">
        <v>98</v>
      </c>
    </row>
    <row r="62" spans="1:17" x14ac:dyDescent="0.3">
      <c r="A62">
        <v>61</v>
      </c>
      <c r="B62" t="s">
        <v>202</v>
      </c>
      <c r="C62" t="s">
        <v>203</v>
      </c>
      <c r="D62" t="s">
        <v>204</v>
      </c>
      <c r="E62" t="s">
        <v>25</v>
      </c>
      <c r="F62" t="b">
        <v>0</v>
      </c>
      <c r="G62" s="3">
        <v>2</v>
      </c>
      <c r="H62" s="3" t="b">
        <v>0</v>
      </c>
      <c r="I62" s="3">
        <v>1</v>
      </c>
      <c r="J62" t="s">
        <v>159</v>
      </c>
      <c r="K62" s="3">
        <v>91</v>
      </c>
      <c r="L62" s="3">
        <v>81</v>
      </c>
      <c r="M62" s="3">
        <v>88</v>
      </c>
      <c r="N62" s="3">
        <v>71</v>
      </c>
      <c r="O62" s="3">
        <v>78</v>
      </c>
      <c r="P62" s="3">
        <v>83</v>
      </c>
      <c r="Q62" s="3">
        <v>76</v>
      </c>
    </row>
    <row r="63" spans="1:17" x14ac:dyDescent="0.3">
      <c r="A63">
        <v>62</v>
      </c>
      <c r="B63" t="s">
        <v>205</v>
      </c>
      <c r="C63" t="s">
        <v>206</v>
      </c>
      <c r="D63" t="s">
        <v>207</v>
      </c>
      <c r="E63" t="s">
        <v>25</v>
      </c>
      <c r="F63" t="b">
        <v>0</v>
      </c>
      <c r="G63" s="3">
        <v>5</v>
      </c>
      <c r="H63" s="3" t="b">
        <v>0</v>
      </c>
      <c r="I63" s="3">
        <v>33</v>
      </c>
      <c r="J63" t="s">
        <v>21</v>
      </c>
      <c r="K63" s="3">
        <v>83</v>
      </c>
      <c r="L63" s="3">
        <v>86</v>
      </c>
      <c r="M63" s="3">
        <v>61</v>
      </c>
      <c r="N63" s="3">
        <v>99</v>
      </c>
      <c r="O63" s="3">
        <v>99</v>
      </c>
      <c r="P63" s="3">
        <v>88</v>
      </c>
      <c r="Q63" s="3">
        <v>73</v>
      </c>
    </row>
    <row r="64" spans="1:17" x14ac:dyDescent="0.3">
      <c r="A64">
        <v>63</v>
      </c>
      <c r="B64" t="s">
        <v>208</v>
      </c>
      <c r="C64" t="s">
        <v>209</v>
      </c>
      <c r="D64" t="s">
        <v>210</v>
      </c>
      <c r="E64" t="s">
        <v>20</v>
      </c>
      <c r="F64" t="b">
        <v>0</v>
      </c>
      <c r="G64" s="3">
        <v>7</v>
      </c>
      <c r="H64" s="3" t="b">
        <v>0</v>
      </c>
      <c r="I64" s="3">
        <v>2</v>
      </c>
      <c r="J64" t="s">
        <v>64</v>
      </c>
      <c r="K64" s="3">
        <v>98</v>
      </c>
      <c r="L64" s="3">
        <v>65</v>
      </c>
      <c r="M64" s="3">
        <v>53</v>
      </c>
      <c r="N64" s="3">
        <v>64</v>
      </c>
      <c r="O64" s="3">
        <v>52</v>
      </c>
      <c r="P64" s="3">
        <v>96</v>
      </c>
      <c r="Q64" s="3">
        <v>62</v>
      </c>
    </row>
    <row r="65" spans="1:17" x14ac:dyDescent="0.3">
      <c r="A65">
        <v>64</v>
      </c>
      <c r="B65" t="s">
        <v>211</v>
      </c>
      <c r="C65" t="s">
        <v>212</v>
      </c>
      <c r="D65" t="s">
        <v>213</v>
      </c>
      <c r="E65" t="s">
        <v>25</v>
      </c>
      <c r="F65" t="b">
        <v>0</v>
      </c>
      <c r="G65" s="3">
        <v>1</v>
      </c>
      <c r="H65" s="3" t="b">
        <v>0</v>
      </c>
      <c r="I65" s="3">
        <v>34</v>
      </c>
      <c r="J65" t="s">
        <v>105</v>
      </c>
      <c r="K65" s="3">
        <v>83</v>
      </c>
      <c r="L65" s="3">
        <v>97</v>
      </c>
      <c r="M65" s="3">
        <v>65</v>
      </c>
      <c r="N65" s="3">
        <v>88</v>
      </c>
      <c r="O65" s="3">
        <v>67</v>
      </c>
      <c r="P65" s="3">
        <v>95</v>
      </c>
      <c r="Q65" s="3">
        <v>69</v>
      </c>
    </row>
    <row r="66" spans="1:17" x14ac:dyDescent="0.3">
      <c r="A66">
        <v>65</v>
      </c>
      <c r="B66" t="s">
        <v>214</v>
      </c>
      <c r="C66" t="s">
        <v>215</v>
      </c>
      <c r="D66" t="s">
        <v>216</v>
      </c>
      <c r="E66" t="s">
        <v>20</v>
      </c>
      <c r="F66" t="b">
        <v>0</v>
      </c>
      <c r="G66" s="3">
        <v>2</v>
      </c>
      <c r="H66" s="3" t="b">
        <v>0</v>
      </c>
      <c r="I66" s="3">
        <v>18</v>
      </c>
      <c r="J66" t="s">
        <v>138</v>
      </c>
      <c r="K66" s="3">
        <v>91</v>
      </c>
      <c r="L66" s="3">
        <v>73</v>
      </c>
      <c r="M66" s="3">
        <v>99</v>
      </c>
      <c r="N66" s="3">
        <v>70</v>
      </c>
      <c r="O66" s="3">
        <v>63</v>
      </c>
      <c r="P66" s="3">
        <v>80</v>
      </c>
      <c r="Q66" s="3">
        <v>78</v>
      </c>
    </row>
    <row r="67" spans="1:17" x14ac:dyDescent="0.3">
      <c r="A67">
        <v>66</v>
      </c>
      <c r="B67" t="s">
        <v>217</v>
      </c>
      <c r="C67" t="s">
        <v>218</v>
      </c>
      <c r="D67" t="s">
        <v>219</v>
      </c>
      <c r="E67" t="s">
        <v>25</v>
      </c>
      <c r="F67" t="b">
        <v>1</v>
      </c>
      <c r="G67" s="3">
        <v>6</v>
      </c>
      <c r="H67" s="3" t="b">
        <v>0</v>
      </c>
      <c r="I67" s="3">
        <v>2</v>
      </c>
      <c r="J67" t="s">
        <v>64</v>
      </c>
      <c r="K67" s="3">
        <v>90</v>
      </c>
      <c r="L67" s="3">
        <v>54</v>
      </c>
      <c r="M67" s="3">
        <v>77</v>
      </c>
      <c r="N67" s="3">
        <v>74</v>
      </c>
      <c r="O67" s="3">
        <v>76</v>
      </c>
      <c r="P67" s="3">
        <v>96</v>
      </c>
      <c r="Q67" s="3">
        <v>88</v>
      </c>
    </row>
    <row r="68" spans="1:17" x14ac:dyDescent="0.3">
      <c r="A68">
        <v>67</v>
      </c>
      <c r="B68" t="s">
        <v>35</v>
      </c>
      <c r="C68" t="s">
        <v>42</v>
      </c>
      <c r="D68" t="s">
        <v>220</v>
      </c>
      <c r="E68" t="s">
        <v>20</v>
      </c>
      <c r="F68" t="b">
        <v>0</v>
      </c>
      <c r="G68" s="3">
        <v>3</v>
      </c>
      <c r="H68" s="3" t="b">
        <v>0</v>
      </c>
      <c r="I68" s="3">
        <v>27</v>
      </c>
      <c r="J68" t="s">
        <v>44</v>
      </c>
      <c r="K68" s="3">
        <v>92</v>
      </c>
      <c r="L68" s="3">
        <v>86</v>
      </c>
      <c r="M68" s="3">
        <v>66</v>
      </c>
      <c r="N68" s="3">
        <v>69</v>
      </c>
      <c r="O68" s="3">
        <v>100</v>
      </c>
      <c r="P68" s="3">
        <v>71</v>
      </c>
      <c r="Q68" s="3">
        <v>80</v>
      </c>
    </row>
    <row r="69" spans="1:17" x14ac:dyDescent="0.3">
      <c r="A69">
        <v>68</v>
      </c>
      <c r="B69" t="s">
        <v>221</v>
      </c>
      <c r="C69" t="s">
        <v>222</v>
      </c>
      <c r="D69" t="s">
        <v>223</v>
      </c>
      <c r="E69" t="s">
        <v>20</v>
      </c>
      <c r="F69" t="b">
        <v>0</v>
      </c>
      <c r="G69" s="3">
        <v>2</v>
      </c>
      <c r="H69" s="3" t="b">
        <v>0</v>
      </c>
      <c r="I69" s="3">
        <v>8</v>
      </c>
      <c r="J69" t="s">
        <v>224</v>
      </c>
      <c r="K69" s="3">
        <v>64</v>
      </c>
      <c r="L69" s="3">
        <v>64</v>
      </c>
      <c r="M69" s="3">
        <v>73</v>
      </c>
      <c r="N69" s="3">
        <v>76</v>
      </c>
      <c r="O69" s="3">
        <v>72</v>
      </c>
      <c r="P69" s="3">
        <v>97</v>
      </c>
      <c r="Q69" s="3">
        <v>91</v>
      </c>
    </row>
    <row r="70" spans="1:17" x14ac:dyDescent="0.3">
      <c r="A70">
        <v>69</v>
      </c>
      <c r="B70" t="s">
        <v>225</v>
      </c>
      <c r="C70" t="s">
        <v>164</v>
      </c>
      <c r="D70" t="s">
        <v>226</v>
      </c>
      <c r="E70" t="s">
        <v>20</v>
      </c>
      <c r="F70" t="b">
        <v>0</v>
      </c>
      <c r="G70" s="3">
        <v>4</v>
      </c>
      <c r="H70" s="3" t="b">
        <v>0</v>
      </c>
      <c r="I70" s="3">
        <v>14</v>
      </c>
      <c r="J70" t="s">
        <v>44</v>
      </c>
      <c r="K70" s="3">
        <v>90</v>
      </c>
      <c r="L70" s="3">
        <v>70</v>
      </c>
      <c r="M70" s="3">
        <v>85</v>
      </c>
      <c r="N70" s="3">
        <v>60</v>
      </c>
      <c r="O70" s="3">
        <v>81</v>
      </c>
      <c r="P70" s="3">
        <v>71</v>
      </c>
      <c r="Q70" s="3">
        <v>88</v>
      </c>
    </row>
    <row r="71" spans="1:17" x14ac:dyDescent="0.3">
      <c r="A71">
        <v>70</v>
      </c>
      <c r="B71" t="s">
        <v>227</v>
      </c>
      <c r="C71" t="s">
        <v>228</v>
      </c>
      <c r="D71" t="s">
        <v>229</v>
      </c>
      <c r="E71" t="s">
        <v>20</v>
      </c>
      <c r="F71" t="b">
        <v>0</v>
      </c>
      <c r="G71" s="3">
        <v>10</v>
      </c>
      <c r="H71" s="3" t="b">
        <v>1</v>
      </c>
      <c r="I71" s="3">
        <v>22</v>
      </c>
      <c r="J71" t="s">
        <v>105</v>
      </c>
      <c r="K71" s="3">
        <v>99</v>
      </c>
      <c r="L71" s="3">
        <v>81</v>
      </c>
      <c r="M71" s="3">
        <v>96</v>
      </c>
      <c r="N71" s="3">
        <v>69</v>
      </c>
      <c r="O71" s="3">
        <v>91</v>
      </c>
      <c r="P71" s="3">
        <v>87</v>
      </c>
      <c r="Q71" s="3">
        <v>83</v>
      </c>
    </row>
    <row r="72" spans="1:17" x14ac:dyDescent="0.3">
      <c r="A72">
        <v>71</v>
      </c>
      <c r="B72" t="s">
        <v>230</v>
      </c>
      <c r="C72" t="s">
        <v>231</v>
      </c>
      <c r="D72" t="s">
        <v>232</v>
      </c>
      <c r="E72" t="s">
        <v>25</v>
      </c>
      <c r="F72" t="b">
        <v>0</v>
      </c>
      <c r="G72" s="3">
        <v>1</v>
      </c>
      <c r="H72" s="3" t="b">
        <v>0</v>
      </c>
      <c r="I72" s="3">
        <v>15</v>
      </c>
      <c r="J72" t="s">
        <v>123</v>
      </c>
      <c r="K72" s="3">
        <v>89</v>
      </c>
      <c r="L72" s="3">
        <v>66</v>
      </c>
      <c r="M72" s="3">
        <v>93</v>
      </c>
      <c r="N72" s="3">
        <v>81</v>
      </c>
      <c r="O72" s="3">
        <v>86</v>
      </c>
      <c r="P72" s="3">
        <v>88</v>
      </c>
      <c r="Q72" s="3">
        <v>70</v>
      </c>
    </row>
    <row r="73" spans="1:17" x14ac:dyDescent="0.3">
      <c r="A73">
        <v>72</v>
      </c>
      <c r="B73" t="s">
        <v>173</v>
      </c>
      <c r="C73" t="s">
        <v>233</v>
      </c>
      <c r="D73" t="s">
        <v>234</v>
      </c>
      <c r="E73" t="s">
        <v>25</v>
      </c>
      <c r="F73" t="b">
        <v>1</v>
      </c>
      <c r="G73" s="3">
        <v>3</v>
      </c>
      <c r="H73" s="3" t="b">
        <v>0</v>
      </c>
      <c r="I73" s="3">
        <v>22</v>
      </c>
      <c r="J73" t="s">
        <v>109</v>
      </c>
      <c r="K73" s="3">
        <v>62</v>
      </c>
      <c r="L73" s="3">
        <v>87</v>
      </c>
      <c r="M73" s="3">
        <v>93</v>
      </c>
      <c r="N73" s="3">
        <v>83</v>
      </c>
      <c r="O73" s="3">
        <v>93</v>
      </c>
      <c r="P73" s="3">
        <v>97</v>
      </c>
      <c r="Q73" s="3">
        <v>73</v>
      </c>
    </row>
    <row r="74" spans="1:17" x14ac:dyDescent="0.3">
      <c r="A74">
        <v>73</v>
      </c>
      <c r="B74" t="s">
        <v>235</v>
      </c>
      <c r="C74" t="s">
        <v>236</v>
      </c>
      <c r="D74" t="s">
        <v>237</v>
      </c>
      <c r="E74" t="s">
        <v>20</v>
      </c>
      <c r="F74" t="b">
        <v>1</v>
      </c>
      <c r="G74" s="3">
        <v>10</v>
      </c>
      <c r="H74" s="3" t="b">
        <v>0</v>
      </c>
      <c r="I74" s="3">
        <v>1</v>
      </c>
      <c r="J74" t="s">
        <v>64</v>
      </c>
      <c r="K74" s="3">
        <v>61</v>
      </c>
      <c r="L74" s="3">
        <v>70</v>
      </c>
      <c r="M74" s="3">
        <v>69</v>
      </c>
      <c r="N74" s="3">
        <v>64</v>
      </c>
      <c r="O74" s="3">
        <v>59</v>
      </c>
      <c r="P74" s="3">
        <v>78</v>
      </c>
      <c r="Q74" s="3">
        <v>80</v>
      </c>
    </row>
    <row r="75" spans="1:17" x14ac:dyDescent="0.3">
      <c r="A75">
        <v>74</v>
      </c>
      <c r="B75" t="s">
        <v>139</v>
      </c>
      <c r="C75" t="s">
        <v>238</v>
      </c>
      <c r="D75" t="s">
        <v>239</v>
      </c>
      <c r="E75" t="s">
        <v>20</v>
      </c>
      <c r="F75" t="b">
        <v>1</v>
      </c>
      <c r="G75" s="3">
        <v>8</v>
      </c>
      <c r="H75" s="3" t="b">
        <v>0</v>
      </c>
      <c r="I75" s="3">
        <v>3</v>
      </c>
      <c r="J75" t="s">
        <v>64</v>
      </c>
      <c r="K75" s="3">
        <v>51</v>
      </c>
      <c r="L75" s="3">
        <v>54</v>
      </c>
      <c r="M75" s="3">
        <v>66</v>
      </c>
      <c r="N75" s="3">
        <v>87</v>
      </c>
      <c r="O75" s="3">
        <v>99</v>
      </c>
      <c r="P75" s="3">
        <v>58</v>
      </c>
      <c r="Q75" s="3">
        <v>68</v>
      </c>
    </row>
    <row r="76" spans="1:17" x14ac:dyDescent="0.3">
      <c r="A76">
        <v>75</v>
      </c>
      <c r="B76" t="s">
        <v>240</v>
      </c>
      <c r="C76" t="s">
        <v>241</v>
      </c>
      <c r="D76" t="s">
        <v>242</v>
      </c>
      <c r="E76" t="s">
        <v>25</v>
      </c>
      <c r="F76" t="b">
        <v>0</v>
      </c>
      <c r="G76" s="3">
        <v>2</v>
      </c>
      <c r="H76" s="3" t="b">
        <v>0</v>
      </c>
      <c r="I76" s="3">
        <v>20</v>
      </c>
      <c r="J76" t="s">
        <v>44</v>
      </c>
      <c r="K76" s="3">
        <v>85</v>
      </c>
      <c r="L76" s="3">
        <v>100</v>
      </c>
      <c r="M76" s="3">
        <v>64</v>
      </c>
      <c r="N76" s="3">
        <v>68</v>
      </c>
      <c r="O76" s="3">
        <v>73</v>
      </c>
      <c r="P76" s="3">
        <v>81</v>
      </c>
      <c r="Q76" s="3">
        <v>87</v>
      </c>
    </row>
    <row r="77" spans="1:17" x14ac:dyDescent="0.3">
      <c r="A77">
        <v>76</v>
      </c>
      <c r="B77" t="s">
        <v>243</v>
      </c>
      <c r="C77" t="s">
        <v>244</v>
      </c>
      <c r="D77" t="s">
        <v>245</v>
      </c>
      <c r="E77" t="s">
        <v>25</v>
      </c>
      <c r="F77" t="b">
        <v>0</v>
      </c>
      <c r="G77" s="3">
        <v>7</v>
      </c>
      <c r="H77" s="3" t="b">
        <v>1</v>
      </c>
      <c r="I77" s="3">
        <v>27</v>
      </c>
      <c r="J77" t="s">
        <v>44</v>
      </c>
      <c r="K77" s="3">
        <v>99</v>
      </c>
      <c r="L77" s="3">
        <v>90</v>
      </c>
      <c r="M77" s="3">
        <v>96</v>
      </c>
      <c r="N77" s="3">
        <v>92</v>
      </c>
      <c r="O77" s="3">
        <v>100</v>
      </c>
      <c r="P77" s="3">
        <v>98</v>
      </c>
      <c r="Q77" s="3">
        <v>77</v>
      </c>
    </row>
    <row r="78" spans="1:17" x14ac:dyDescent="0.3">
      <c r="A78">
        <v>77</v>
      </c>
      <c r="B78" t="s">
        <v>190</v>
      </c>
      <c r="C78" t="s">
        <v>246</v>
      </c>
      <c r="D78" t="s">
        <v>247</v>
      </c>
      <c r="E78" t="s">
        <v>25</v>
      </c>
      <c r="F78" t="b">
        <v>0</v>
      </c>
      <c r="G78" s="3">
        <v>3</v>
      </c>
      <c r="H78" s="3" t="b">
        <v>0</v>
      </c>
      <c r="I78" s="3">
        <v>24</v>
      </c>
      <c r="J78" t="s">
        <v>44</v>
      </c>
      <c r="K78" s="3">
        <v>87</v>
      </c>
      <c r="L78" s="3">
        <v>63</v>
      </c>
      <c r="M78" s="3">
        <v>60</v>
      </c>
      <c r="N78" s="3">
        <v>90</v>
      </c>
      <c r="O78" s="3">
        <v>89</v>
      </c>
      <c r="P78" s="3">
        <v>99</v>
      </c>
      <c r="Q78" s="3">
        <v>80</v>
      </c>
    </row>
    <row r="79" spans="1:17" x14ac:dyDescent="0.3">
      <c r="A79">
        <v>78</v>
      </c>
      <c r="B79" t="s">
        <v>248</v>
      </c>
      <c r="C79" t="s">
        <v>249</v>
      </c>
      <c r="D79" t="s">
        <v>250</v>
      </c>
      <c r="E79" t="s">
        <v>25</v>
      </c>
      <c r="F79" t="b">
        <v>0</v>
      </c>
      <c r="G79" s="3">
        <v>1</v>
      </c>
      <c r="H79" s="3" t="b">
        <v>1</v>
      </c>
      <c r="I79" s="3">
        <v>5</v>
      </c>
      <c r="J79" t="s">
        <v>38</v>
      </c>
      <c r="K79" s="3">
        <v>75</v>
      </c>
      <c r="L79" s="3">
        <v>91</v>
      </c>
      <c r="M79" s="3">
        <v>80</v>
      </c>
      <c r="N79" s="3">
        <v>93</v>
      </c>
      <c r="O79" s="3">
        <v>74</v>
      </c>
      <c r="P79" s="3">
        <v>93</v>
      </c>
      <c r="Q79" s="3">
        <v>65</v>
      </c>
    </row>
    <row r="80" spans="1:17" x14ac:dyDescent="0.3">
      <c r="A80">
        <v>79</v>
      </c>
      <c r="B80" t="s">
        <v>251</v>
      </c>
      <c r="C80" t="s">
        <v>252</v>
      </c>
      <c r="D80" t="s">
        <v>253</v>
      </c>
      <c r="E80" t="s">
        <v>25</v>
      </c>
      <c r="F80" t="b">
        <v>0</v>
      </c>
      <c r="G80" s="3">
        <v>7</v>
      </c>
      <c r="H80" s="3" t="b">
        <v>0</v>
      </c>
      <c r="I80" s="3">
        <v>34</v>
      </c>
      <c r="J80" t="s">
        <v>38</v>
      </c>
      <c r="K80" s="3">
        <v>88</v>
      </c>
      <c r="L80" s="3">
        <v>94</v>
      </c>
      <c r="M80" s="3">
        <v>80</v>
      </c>
      <c r="N80" s="3">
        <v>63</v>
      </c>
      <c r="O80" s="3">
        <v>68</v>
      </c>
      <c r="P80" s="3">
        <v>77</v>
      </c>
      <c r="Q80" s="3">
        <v>64</v>
      </c>
    </row>
    <row r="81" spans="1:17" x14ac:dyDescent="0.3">
      <c r="A81">
        <v>80</v>
      </c>
      <c r="B81" t="s">
        <v>254</v>
      </c>
      <c r="C81" t="s">
        <v>255</v>
      </c>
      <c r="D81" t="s">
        <v>256</v>
      </c>
      <c r="E81" t="s">
        <v>20</v>
      </c>
      <c r="F81" t="b">
        <v>0</v>
      </c>
      <c r="G81" s="3">
        <v>3</v>
      </c>
      <c r="H81" s="3" t="b">
        <v>0</v>
      </c>
      <c r="I81" s="3">
        <v>16</v>
      </c>
      <c r="J81" t="s">
        <v>44</v>
      </c>
      <c r="K81" s="3">
        <v>87</v>
      </c>
      <c r="L81" s="3">
        <v>79</v>
      </c>
      <c r="M81" s="3">
        <v>89</v>
      </c>
      <c r="N81" s="3">
        <v>68</v>
      </c>
      <c r="O81" s="3">
        <v>93</v>
      </c>
      <c r="P81" s="3">
        <v>75</v>
      </c>
      <c r="Q81" s="3">
        <v>92</v>
      </c>
    </row>
    <row r="82" spans="1:17" x14ac:dyDescent="0.3">
      <c r="A82">
        <v>81</v>
      </c>
      <c r="B82" t="s">
        <v>166</v>
      </c>
      <c r="C82" t="s">
        <v>257</v>
      </c>
      <c r="D82" t="s">
        <v>258</v>
      </c>
      <c r="E82" t="s">
        <v>25</v>
      </c>
      <c r="F82" t="b">
        <v>1</v>
      </c>
      <c r="G82" s="3">
        <v>3</v>
      </c>
      <c r="H82" s="3" t="b">
        <v>0</v>
      </c>
      <c r="I82" s="3">
        <v>3</v>
      </c>
      <c r="J82" t="s">
        <v>64</v>
      </c>
      <c r="K82" s="3">
        <v>87</v>
      </c>
      <c r="L82" s="3">
        <v>67</v>
      </c>
      <c r="M82" s="3">
        <v>94</v>
      </c>
      <c r="N82" s="3">
        <v>92</v>
      </c>
      <c r="O82" s="3">
        <v>62</v>
      </c>
      <c r="P82" s="3">
        <v>58</v>
      </c>
      <c r="Q82" s="3">
        <v>65</v>
      </c>
    </row>
    <row r="83" spans="1:17" x14ac:dyDescent="0.3">
      <c r="A83">
        <v>82</v>
      </c>
      <c r="B83" t="s">
        <v>130</v>
      </c>
      <c r="C83" t="s">
        <v>259</v>
      </c>
      <c r="D83" t="s">
        <v>260</v>
      </c>
      <c r="E83" t="s">
        <v>25</v>
      </c>
      <c r="F83" t="b">
        <v>0</v>
      </c>
      <c r="G83" s="3">
        <v>1</v>
      </c>
      <c r="H83" s="3" t="b">
        <v>0</v>
      </c>
      <c r="I83" s="3">
        <v>15</v>
      </c>
      <c r="J83" t="s">
        <v>172</v>
      </c>
      <c r="K83" s="3">
        <v>76</v>
      </c>
      <c r="L83" s="3">
        <v>67</v>
      </c>
      <c r="M83" s="3">
        <v>83</v>
      </c>
      <c r="N83" s="3">
        <v>85</v>
      </c>
      <c r="O83" s="3">
        <v>91</v>
      </c>
      <c r="P83" s="3">
        <v>61</v>
      </c>
      <c r="Q83" s="3">
        <v>67</v>
      </c>
    </row>
    <row r="84" spans="1:17" x14ac:dyDescent="0.3">
      <c r="A84">
        <v>83</v>
      </c>
      <c r="B84" t="s">
        <v>114</v>
      </c>
      <c r="C84" t="s">
        <v>261</v>
      </c>
      <c r="D84" t="s">
        <v>262</v>
      </c>
      <c r="E84" t="s">
        <v>25</v>
      </c>
      <c r="F84" t="b">
        <v>0</v>
      </c>
      <c r="G84" s="3">
        <v>7</v>
      </c>
      <c r="H84" s="3" t="b">
        <v>0</v>
      </c>
      <c r="I84" s="3">
        <v>11</v>
      </c>
      <c r="J84" t="s">
        <v>30</v>
      </c>
      <c r="K84" s="3">
        <v>60</v>
      </c>
      <c r="L84" s="3">
        <v>80</v>
      </c>
      <c r="M84" s="3">
        <v>61</v>
      </c>
      <c r="N84" s="3">
        <v>63</v>
      </c>
      <c r="O84" s="3">
        <v>95</v>
      </c>
      <c r="P84" s="3">
        <v>92</v>
      </c>
      <c r="Q84" s="3">
        <v>75</v>
      </c>
    </row>
    <row r="85" spans="1:17" x14ac:dyDescent="0.3">
      <c r="A85">
        <v>84</v>
      </c>
      <c r="B85" t="s">
        <v>263</v>
      </c>
      <c r="C85" t="s">
        <v>264</v>
      </c>
      <c r="D85" t="s">
        <v>265</v>
      </c>
      <c r="E85" t="s">
        <v>20</v>
      </c>
      <c r="F85" t="b">
        <v>0</v>
      </c>
      <c r="G85" s="3">
        <v>7</v>
      </c>
      <c r="H85" s="3" t="b">
        <v>0</v>
      </c>
      <c r="I85" s="3">
        <v>32</v>
      </c>
      <c r="J85" t="s">
        <v>76</v>
      </c>
      <c r="K85" s="3">
        <v>85</v>
      </c>
      <c r="L85" s="3">
        <v>65</v>
      </c>
      <c r="M85" s="3">
        <v>99</v>
      </c>
      <c r="N85" s="3">
        <v>100</v>
      </c>
      <c r="O85" s="3">
        <v>88</v>
      </c>
      <c r="P85" s="3">
        <v>93</v>
      </c>
      <c r="Q85" s="3">
        <v>72</v>
      </c>
    </row>
    <row r="86" spans="1:17" x14ac:dyDescent="0.3">
      <c r="A86">
        <v>85</v>
      </c>
      <c r="B86" t="s">
        <v>266</v>
      </c>
      <c r="C86" t="s">
        <v>267</v>
      </c>
      <c r="D86" t="s">
        <v>268</v>
      </c>
      <c r="E86" t="s">
        <v>20</v>
      </c>
      <c r="F86" t="b">
        <v>0</v>
      </c>
      <c r="G86" s="3">
        <v>3</v>
      </c>
      <c r="H86" s="3" t="b">
        <v>0</v>
      </c>
      <c r="I86" s="3">
        <v>28</v>
      </c>
      <c r="J86" t="s">
        <v>38</v>
      </c>
      <c r="K86" s="3">
        <v>73</v>
      </c>
      <c r="L86" s="3">
        <v>67</v>
      </c>
      <c r="M86" s="3">
        <v>70</v>
      </c>
      <c r="N86" s="3">
        <v>71</v>
      </c>
      <c r="O86" s="3">
        <v>65</v>
      </c>
      <c r="P86" s="3">
        <v>73</v>
      </c>
      <c r="Q86" s="3">
        <v>87</v>
      </c>
    </row>
    <row r="87" spans="1:17" x14ac:dyDescent="0.3">
      <c r="A87">
        <v>86</v>
      </c>
      <c r="B87" t="s">
        <v>269</v>
      </c>
      <c r="C87" t="s">
        <v>270</v>
      </c>
      <c r="D87" t="s">
        <v>271</v>
      </c>
      <c r="E87" t="s">
        <v>20</v>
      </c>
      <c r="F87" t="b">
        <v>0</v>
      </c>
      <c r="G87" s="3">
        <v>1</v>
      </c>
      <c r="H87" s="3" t="b">
        <v>0</v>
      </c>
      <c r="I87" s="3">
        <v>24</v>
      </c>
      <c r="J87" t="s">
        <v>44</v>
      </c>
      <c r="K87" s="3">
        <v>85</v>
      </c>
      <c r="L87" s="3">
        <v>71</v>
      </c>
      <c r="M87" s="3">
        <v>69</v>
      </c>
      <c r="N87" s="3">
        <v>80</v>
      </c>
      <c r="O87" s="3">
        <v>70</v>
      </c>
      <c r="P87" s="3">
        <v>77</v>
      </c>
      <c r="Q87" s="3">
        <v>66</v>
      </c>
    </row>
    <row r="88" spans="1:17" x14ac:dyDescent="0.3">
      <c r="A88">
        <v>87</v>
      </c>
      <c r="B88" t="s">
        <v>190</v>
      </c>
      <c r="C88" t="s">
        <v>272</v>
      </c>
      <c r="D88" t="s">
        <v>273</v>
      </c>
      <c r="E88" t="s">
        <v>25</v>
      </c>
      <c r="F88" t="b">
        <v>0</v>
      </c>
      <c r="G88" s="3">
        <v>2</v>
      </c>
      <c r="H88" s="3" t="b">
        <v>0</v>
      </c>
      <c r="I88" s="3">
        <v>9</v>
      </c>
      <c r="J88" t="s">
        <v>30</v>
      </c>
      <c r="K88" s="3">
        <v>91</v>
      </c>
      <c r="L88" s="3">
        <v>76</v>
      </c>
      <c r="M88" s="3">
        <v>71</v>
      </c>
      <c r="N88" s="3">
        <v>72</v>
      </c>
      <c r="O88" s="3">
        <v>92</v>
      </c>
      <c r="P88" s="3">
        <v>67</v>
      </c>
      <c r="Q88" s="3">
        <v>90</v>
      </c>
    </row>
    <row r="89" spans="1:17" x14ac:dyDescent="0.3">
      <c r="A89">
        <v>88</v>
      </c>
      <c r="B89" t="s">
        <v>274</v>
      </c>
      <c r="C89" t="s">
        <v>275</v>
      </c>
      <c r="D89" t="s">
        <v>276</v>
      </c>
      <c r="E89" t="s">
        <v>25</v>
      </c>
      <c r="F89" t="b">
        <v>0</v>
      </c>
      <c r="G89" s="3">
        <v>3</v>
      </c>
      <c r="H89" s="3" t="b">
        <v>1</v>
      </c>
      <c r="I89" s="3">
        <v>14</v>
      </c>
      <c r="J89" t="s">
        <v>44</v>
      </c>
      <c r="K89" s="3">
        <v>99</v>
      </c>
      <c r="L89" s="3">
        <v>95</v>
      </c>
      <c r="M89" s="3">
        <v>83</v>
      </c>
      <c r="N89" s="3">
        <v>89</v>
      </c>
      <c r="O89" s="3">
        <v>81</v>
      </c>
      <c r="P89" s="3">
        <v>63</v>
      </c>
      <c r="Q89" s="3">
        <v>70</v>
      </c>
    </row>
    <row r="90" spans="1:17" x14ac:dyDescent="0.3">
      <c r="A90">
        <v>89</v>
      </c>
      <c r="B90" t="s">
        <v>277</v>
      </c>
      <c r="C90" t="s">
        <v>278</v>
      </c>
      <c r="D90" t="s">
        <v>279</v>
      </c>
      <c r="E90" t="s">
        <v>20</v>
      </c>
      <c r="F90" t="b">
        <v>0</v>
      </c>
      <c r="G90" s="3">
        <v>3</v>
      </c>
      <c r="H90" s="3" t="b">
        <v>0</v>
      </c>
      <c r="I90" s="3">
        <v>16</v>
      </c>
      <c r="J90" t="s">
        <v>172</v>
      </c>
      <c r="K90" s="3">
        <v>93</v>
      </c>
      <c r="L90" s="3">
        <v>96</v>
      </c>
      <c r="M90" s="3">
        <v>68</v>
      </c>
      <c r="N90" s="3">
        <v>87</v>
      </c>
      <c r="O90" s="3">
        <v>69</v>
      </c>
      <c r="P90" s="3">
        <v>89</v>
      </c>
      <c r="Q90" s="3">
        <v>100</v>
      </c>
    </row>
    <row r="91" spans="1:17" x14ac:dyDescent="0.3">
      <c r="A91">
        <v>90</v>
      </c>
      <c r="B91" t="s">
        <v>280</v>
      </c>
      <c r="C91" t="s">
        <v>281</v>
      </c>
      <c r="D91" t="s">
        <v>282</v>
      </c>
      <c r="E91" t="s">
        <v>20</v>
      </c>
      <c r="F91" t="b">
        <v>0</v>
      </c>
      <c r="G91" s="3">
        <v>3</v>
      </c>
      <c r="H91" s="3" t="b">
        <v>0</v>
      </c>
      <c r="I91" s="3">
        <v>29</v>
      </c>
      <c r="J91" t="s">
        <v>44</v>
      </c>
      <c r="K91" s="3">
        <v>89</v>
      </c>
      <c r="L91" s="3">
        <v>75</v>
      </c>
      <c r="M91" s="3">
        <v>60</v>
      </c>
      <c r="N91" s="3">
        <v>80</v>
      </c>
      <c r="O91" s="3">
        <v>62</v>
      </c>
      <c r="P91" s="3">
        <v>85</v>
      </c>
      <c r="Q91" s="3">
        <v>73</v>
      </c>
    </row>
    <row r="92" spans="1:17" x14ac:dyDescent="0.3">
      <c r="A92">
        <v>91</v>
      </c>
      <c r="B92" t="s">
        <v>283</v>
      </c>
      <c r="C92" t="s">
        <v>284</v>
      </c>
      <c r="D92" t="s">
        <v>285</v>
      </c>
      <c r="E92" t="s">
        <v>20</v>
      </c>
      <c r="F92" t="b">
        <v>0</v>
      </c>
      <c r="G92" s="3">
        <v>0</v>
      </c>
      <c r="H92" s="3" t="b">
        <v>0</v>
      </c>
      <c r="I92" s="3">
        <v>14</v>
      </c>
      <c r="J92" t="s">
        <v>113</v>
      </c>
      <c r="K92" s="3">
        <v>95</v>
      </c>
      <c r="L92" s="3">
        <v>78</v>
      </c>
      <c r="M92" s="3">
        <v>95</v>
      </c>
      <c r="N92" s="3">
        <v>73</v>
      </c>
      <c r="O92" s="3">
        <v>32</v>
      </c>
      <c r="P92" s="3">
        <v>65</v>
      </c>
      <c r="Q92" s="3">
        <v>68</v>
      </c>
    </row>
    <row r="93" spans="1:17" x14ac:dyDescent="0.3">
      <c r="A93">
        <v>92</v>
      </c>
      <c r="B93" t="s">
        <v>266</v>
      </c>
      <c r="C93" t="s">
        <v>286</v>
      </c>
      <c r="D93" t="s">
        <v>287</v>
      </c>
      <c r="E93" t="s">
        <v>20</v>
      </c>
      <c r="F93" t="b">
        <v>0</v>
      </c>
      <c r="G93" s="3">
        <v>4</v>
      </c>
      <c r="H93" s="3" t="b">
        <v>0</v>
      </c>
      <c r="I93" s="3">
        <v>10</v>
      </c>
      <c r="J93" t="s">
        <v>30</v>
      </c>
      <c r="K93" s="3">
        <v>68</v>
      </c>
      <c r="L93" s="3">
        <v>82</v>
      </c>
      <c r="M93" s="3">
        <v>95</v>
      </c>
      <c r="N93" s="3">
        <v>63</v>
      </c>
      <c r="O93" s="3">
        <v>62</v>
      </c>
      <c r="P93" s="3">
        <v>98</v>
      </c>
      <c r="Q93" s="3">
        <v>93</v>
      </c>
    </row>
    <row r="94" spans="1:17" x14ac:dyDescent="0.3">
      <c r="A94">
        <v>93</v>
      </c>
      <c r="B94" t="s">
        <v>277</v>
      </c>
      <c r="C94" t="s">
        <v>288</v>
      </c>
      <c r="D94" t="s">
        <v>289</v>
      </c>
      <c r="E94" t="s">
        <v>20</v>
      </c>
      <c r="F94" t="b">
        <v>0</v>
      </c>
      <c r="G94" s="3">
        <v>5</v>
      </c>
      <c r="H94" s="3" t="b">
        <v>0</v>
      </c>
      <c r="I94" s="3">
        <v>31</v>
      </c>
      <c r="J94" t="s">
        <v>44</v>
      </c>
      <c r="K94" s="3">
        <v>98</v>
      </c>
      <c r="L94" s="3">
        <v>73</v>
      </c>
      <c r="M94" s="3">
        <v>73</v>
      </c>
      <c r="N94" s="3">
        <v>77</v>
      </c>
      <c r="O94" s="3">
        <v>87</v>
      </c>
      <c r="P94" s="3">
        <v>98</v>
      </c>
      <c r="Q94" s="3">
        <v>83</v>
      </c>
    </row>
    <row r="95" spans="1:17" x14ac:dyDescent="0.3">
      <c r="A95">
        <v>94</v>
      </c>
      <c r="B95" t="s">
        <v>197</v>
      </c>
      <c r="C95" t="s">
        <v>281</v>
      </c>
      <c r="D95" t="s">
        <v>290</v>
      </c>
      <c r="E95" t="s">
        <v>20</v>
      </c>
      <c r="F95" t="b">
        <v>0</v>
      </c>
      <c r="G95" s="3">
        <v>4</v>
      </c>
      <c r="H95" s="3" t="b">
        <v>0</v>
      </c>
      <c r="I95" s="3">
        <v>34</v>
      </c>
      <c r="J95" t="s">
        <v>172</v>
      </c>
      <c r="K95" s="3">
        <v>79</v>
      </c>
      <c r="L95" s="3">
        <v>92</v>
      </c>
      <c r="M95" s="3">
        <v>79</v>
      </c>
      <c r="N95" s="3">
        <v>76</v>
      </c>
      <c r="O95" s="3">
        <v>84</v>
      </c>
      <c r="P95" s="3">
        <v>67</v>
      </c>
      <c r="Q95" s="3">
        <v>86</v>
      </c>
    </row>
    <row r="96" spans="1:17" x14ac:dyDescent="0.3">
      <c r="A96">
        <v>95</v>
      </c>
      <c r="B96" t="s">
        <v>291</v>
      </c>
      <c r="C96" t="s">
        <v>292</v>
      </c>
      <c r="D96" t="s">
        <v>293</v>
      </c>
      <c r="E96" t="s">
        <v>25</v>
      </c>
      <c r="F96" t="b">
        <v>0</v>
      </c>
      <c r="G96" s="3">
        <v>5</v>
      </c>
      <c r="H96" s="3" t="b">
        <v>0</v>
      </c>
      <c r="I96" s="3">
        <v>3</v>
      </c>
      <c r="J96" t="s">
        <v>38</v>
      </c>
      <c r="K96" s="3">
        <v>78</v>
      </c>
      <c r="L96" s="3">
        <v>79</v>
      </c>
      <c r="M96" s="3">
        <v>73</v>
      </c>
      <c r="N96" s="3">
        <v>96</v>
      </c>
      <c r="O96" s="3">
        <v>64</v>
      </c>
      <c r="P96" s="3">
        <v>93</v>
      </c>
      <c r="Q96" s="3">
        <v>85</v>
      </c>
    </row>
    <row r="97" spans="1:17" x14ac:dyDescent="0.3">
      <c r="A97">
        <v>96</v>
      </c>
      <c r="B97" t="s">
        <v>294</v>
      </c>
      <c r="C97" t="s">
        <v>295</v>
      </c>
      <c r="D97" t="s">
        <v>296</v>
      </c>
      <c r="E97" t="s">
        <v>25</v>
      </c>
      <c r="F97" t="b">
        <v>0</v>
      </c>
      <c r="G97" s="3">
        <v>2</v>
      </c>
      <c r="H97" s="3" t="b">
        <v>1</v>
      </c>
      <c r="I97" s="3">
        <v>34</v>
      </c>
      <c r="J97" t="s">
        <v>44</v>
      </c>
      <c r="K97" s="3">
        <v>100</v>
      </c>
      <c r="L97" s="3">
        <v>98</v>
      </c>
      <c r="M97" s="3">
        <v>89</v>
      </c>
      <c r="N97" s="3">
        <v>85</v>
      </c>
      <c r="O97" s="3">
        <v>81</v>
      </c>
      <c r="P97" s="3">
        <v>64</v>
      </c>
      <c r="Q97" s="3">
        <v>94</v>
      </c>
    </row>
    <row r="98" spans="1:17" x14ac:dyDescent="0.3">
      <c r="A98">
        <v>97</v>
      </c>
      <c r="B98" t="s">
        <v>297</v>
      </c>
      <c r="C98" t="s">
        <v>298</v>
      </c>
      <c r="D98" t="s">
        <v>299</v>
      </c>
      <c r="E98" t="s">
        <v>25</v>
      </c>
      <c r="F98" t="b">
        <v>0</v>
      </c>
      <c r="G98" s="3">
        <v>3</v>
      </c>
      <c r="H98" s="3" t="b">
        <v>1</v>
      </c>
      <c r="I98" s="3">
        <v>2</v>
      </c>
      <c r="J98" t="s">
        <v>34</v>
      </c>
      <c r="K98" s="3">
        <v>86</v>
      </c>
      <c r="L98" s="3">
        <v>76</v>
      </c>
      <c r="M98" s="3">
        <v>84</v>
      </c>
      <c r="N98" s="3">
        <v>93</v>
      </c>
      <c r="O98" s="3">
        <v>76</v>
      </c>
      <c r="P98" s="3">
        <v>69</v>
      </c>
      <c r="Q98" s="3">
        <v>91</v>
      </c>
    </row>
    <row r="99" spans="1:17" x14ac:dyDescent="0.3">
      <c r="A99">
        <v>98</v>
      </c>
      <c r="B99" t="s">
        <v>300</v>
      </c>
      <c r="C99" t="s">
        <v>56</v>
      </c>
      <c r="D99" t="s">
        <v>301</v>
      </c>
      <c r="E99" t="s">
        <v>20</v>
      </c>
      <c r="F99" t="b">
        <v>0</v>
      </c>
      <c r="G99" s="3">
        <v>3</v>
      </c>
      <c r="H99" s="3" t="b">
        <v>0</v>
      </c>
      <c r="I99" s="3">
        <v>4</v>
      </c>
      <c r="J99" t="s">
        <v>224</v>
      </c>
      <c r="K99" s="3">
        <v>87</v>
      </c>
      <c r="L99" s="3">
        <v>89</v>
      </c>
      <c r="M99" s="3">
        <v>93</v>
      </c>
      <c r="N99" s="3">
        <v>98</v>
      </c>
      <c r="O99" s="3">
        <v>79</v>
      </c>
      <c r="P99" s="3">
        <v>72</v>
      </c>
      <c r="Q99" s="3">
        <v>88</v>
      </c>
    </row>
    <row r="100" spans="1:17" x14ac:dyDescent="0.3">
      <c r="A100">
        <v>99</v>
      </c>
      <c r="B100" t="s">
        <v>302</v>
      </c>
      <c r="C100" t="s">
        <v>303</v>
      </c>
      <c r="D100" t="s">
        <v>304</v>
      </c>
      <c r="E100" t="s">
        <v>20</v>
      </c>
      <c r="F100" t="b">
        <v>1</v>
      </c>
      <c r="G100" s="3">
        <v>0</v>
      </c>
      <c r="H100" s="3" t="b">
        <v>0</v>
      </c>
      <c r="I100" s="3">
        <v>28</v>
      </c>
      <c r="J100" t="s">
        <v>21</v>
      </c>
      <c r="K100" s="3">
        <v>100</v>
      </c>
      <c r="L100" s="3">
        <v>93</v>
      </c>
      <c r="M100" s="3">
        <v>85</v>
      </c>
      <c r="N100" s="3">
        <v>61</v>
      </c>
      <c r="O100" s="3">
        <v>96</v>
      </c>
      <c r="P100" s="3">
        <v>83</v>
      </c>
      <c r="Q100" s="3">
        <v>86</v>
      </c>
    </row>
    <row r="101" spans="1:17" x14ac:dyDescent="0.3">
      <c r="A101">
        <v>100</v>
      </c>
      <c r="B101" t="s">
        <v>173</v>
      </c>
      <c r="C101" t="s">
        <v>305</v>
      </c>
      <c r="D101" t="s">
        <v>306</v>
      </c>
      <c r="E101" t="s">
        <v>25</v>
      </c>
      <c r="F101" t="b">
        <v>0</v>
      </c>
      <c r="G101" s="3">
        <v>0</v>
      </c>
      <c r="H101" s="3" t="b">
        <v>0</v>
      </c>
      <c r="I101" s="3">
        <v>5</v>
      </c>
      <c r="J101" t="s">
        <v>159</v>
      </c>
      <c r="K101" s="3">
        <v>85</v>
      </c>
      <c r="L101" s="3">
        <v>89</v>
      </c>
      <c r="M101" s="3">
        <v>94</v>
      </c>
      <c r="N101" s="3">
        <v>69</v>
      </c>
      <c r="O101" s="3">
        <v>99</v>
      </c>
      <c r="P101" s="3">
        <v>93</v>
      </c>
      <c r="Q101" s="3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89D7-A7B8-4DC0-9F8D-0D81850389AD}">
  <dimension ref="A1:U101"/>
  <sheetViews>
    <sheetView tabSelected="1" topLeftCell="C1" workbookViewId="0">
      <selection activeCell="M13" sqref="M13"/>
    </sheetView>
  </sheetViews>
  <sheetFormatPr defaultRowHeight="14.4" x14ac:dyDescent="0.3"/>
  <cols>
    <col min="1" max="1" width="4.88671875" customWidth="1"/>
    <col min="2" max="2" width="13.44140625" customWidth="1"/>
    <col min="3" max="3" width="13.109375" customWidth="1"/>
    <col min="4" max="4" width="9.77734375" customWidth="1"/>
    <col min="5" max="5" width="16.21875" customWidth="1"/>
    <col min="6" max="6" width="19.77734375" customWidth="1"/>
    <col min="7" max="7" width="8.77734375" customWidth="1"/>
    <col min="8" max="9" width="9.5546875" customWidth="1"/>
    <col min="10" max="10" width="12.21875" customWidth="1"/>
    <col min="11" max="11" width="9.6640625" customWidth="1"/>
    <col min="12" max="12" width="9.44140625" customWidth="1"/>
  </cols>
  <sheetData>
    <row r="1" spans="1:21" ht="15.6" x14ac:dyDescent="0.3">
      <c r="A1" s="9" t="s">
        <v>307</v>
      </c>
      <c r="B1" s="10" t="s">
        <v>308</v>
      </c>
      <c r="C1" s="10" t="s">
        <v>309</v>
      </c>
      <c r="D1" s="10" t="s">
        <v>310</v>
      </c>
      <c r="E1" s="10" t="s">
        <v>311</v>
      </c>
      <c r="F1" s="10" t="s">
        <v>312</v>
      </c>
      <c r="G1" s="10" t="s">
        <v>318</v>
      </c>
      <c r="H1" s="10" t="s">
        <v>313</v>
      </c>
      <c r="I1" s="10" t="s">
        <v>314</v>
      </c>
      <c r="J1" s="10" t="s">
        <v>315</v>
      </c>
      <c r="K1" s="10" t="s">
        <v>316</v>
      </c>
      <c r="L1" s="11" t="s">
        <v>317</v>
      </c>
    </row>
    <row r="2" spans="1:21" x14ac:dyDescent="0.3">
      <c r="A2" s="14">
        <v>1</v>
      </c>
      <c r="B2" s="15" t="s">
        <v>17</v>
      </c>
      <c r="C2" s="15" t="s">
        <v>18</v>
      </c>
      <c r="D2" s="15" t="s">
        <v>20</v>
      </c>
      <c r="E2" s="16">
        <v>3</v>
      </c>
      <c r="F2" s="15" t="s">
        <v>21</v>
      </c>
      <c r="G2" s="16">
        <v>73</v>
      </c>
      <c r="H2" s="16">
        <v>81</v>
      </c>
      <c r="I2" s="16">
        <v>93</v>
      </c>
      <c r="J2" s="16">
        <v>97</v>
      </c>
      <c r="K2" s="16">
        <v>63</v>
      </c>
      <c r="L2" s="17">
        <v>80</v>
      </c>
    </row>
    <row r="3" spans="1:21" ht="15.6" x14ac:dyDescent="0.3">
      <c r="A3" s="14">
        <v>2</v>
      </c>
      <c r="B3" s="15" t="s">
        <v>22</v>
      </c>
      <c r="C3" s="15" t="s">
        <v>23</v>
      </c>
      <c r="D3" s="15" t="s">
        <v>25</v>
      </c>
      <c r="E3" s="16">
        <v>2</v>
      </c>
      <c r="F3" s="15" t="s">
        <v>26</v>
      </c>
      <c r="G3" s="16">
        <v>90</v>
      </c>
      <c r="H3" s="16">
        <v>86</v>
      </c>
      <c r="I3" s="16">
        <v>96</v>
      </c>
      <c r="J3" s="16">
        <v>100</v>
      </c>
      <c r="K3" s="16">
        <v>90</v>
      </c>
      <c r="L3" s="17">
        <v>88</v>
      </c>
      <c r="N3" s="1"/>
    </row>
    <row r="4" spans="1:21" x14ac:dyDescent="0.3">
      <c r="A4" s="14">
        <v>3</v>
      </c>
      <c r="B4" s="15" t="s">
        <v>27</v>
      </c>
      <c r="C4" s="15" t="s">
        <v>28</v>
      </c>
      <c r="D4" s="15" t="s">
        <v>25</v>
      </c>
      <c r="E4" s="16">
        <v>9</v>
      </c>
      <c r="F4" s="15" t="s">
        <v>30</v>
      </c>
      <c r="G4" s="16">
        <v>81</v>
      </c>
      <c r="H4" s="16">
        <v>97</v>
      </c>
      <c r="I4" s="16">
        <v>95</v>
      </c>
      <c r="J4" s="16">
        <v>96</v>
      </c>
      <c r="K4" s="16">
        <v>65</v>
      </c>
      <c r="L4" s="17">
        <v>77</v>
      </c>
      <c r="O4" s="4" t="str">
        <f>PROPER(O3)</f>
        <v/>
      </c>
    </row>
    <row r="5" spans="1:21" ht="15.6" x14ac:dyDescent="0.3">
      <c r="A5" s="14">
        <v>4</v>
      </c>
      <c r="B5" s="15" t="s">
        <v>31</v>
      </c>
      <c r="C5" s="15" t="s">
        <v>32</v>
      </c>
      <c r="D5" s="15" t="s">
        <v>25</v>
      </c>
      <c r="E5" s="16">
        <v>5</v>
      </c>
      <c r="F5" s="15" t="s">
        <v>34</v>
      </c>
      <c r="G5" s="16">
        <v>71</v>
      </c>
      <c r="H5" s="16">
        <v>74</v>
      </c>
      <c r="I5" s="16">
        <v>88</v>
      </c>
      <c r="J5" s="16">
        <v>80</v>
      </c>
      <c r="K5" s="16">
        <v>89</v>
      </c>
      <c r="L5" s="17">
        <v>63</v>
      </c>
      <c r="O5" s="22" t="s">
        <v>319</v>
      </c>
      <c r="P5" s="22"/>
      <c r="Q5" s="22"/>
      <c r="R5" s="22"/>
      <c r="S5" s="22"/>
      <c r="T5" s="22"/>
      <c r="U5" s="22"/>
    </row>
    <row r="6" spans="1:21" x14ac:dyDescent="0.3">
      <c r="A6" s="14">
        <v>5</v>
      </c>
      <c r="B6" s="15" t="s">
        <v>35</v>
      </c>
      <c r="C6" s="15" t="s">
        <v>36</v>
      </c>
      <c r="D6" s="15" t="s">
        <v>20</v>
      </c>
      <c r="E6" s="16">
        <v>5</v>
      </c>
      <c r="F6" s="15" t="s">
        <v>38</v>
      </c>
      <c r="G6" s="16">
        <v>84</v>
      </c>
      <c r="H6" s="16">
        <v>77</v>
      </c>
      <c r="I6" s="16">
        <v>65</v>
      </c>
      <c r="J6" s="16">
        <v>65</v>
      </c>
      <c r="K6" s="16">
        <v>80</v>
      </c>
      <c r="L6" s="17">
        <v>74</v>
      </c>
      <c r="O6" s="24"/>
      <c r="P6" s="25"/>
      <c r="Q6" s="25"/>
      <c r="R6" s="25"/>
      <c r="S6" s="25"/>
      <c r="T6" s="25"/>
      <c r="U6" s="8"/>
    </row>
    <row r="7" spans="1:21" x14ac:dyDescent="0.3">
      <c r="A7" s="14">
        <v>6</v>
      </c>
      <c r="B7" s="15" t="s">
        <v>39</v>
      </c>
      <c r="C7" s="15" t="s">
        <v>40</v>
      </c>
      <c r="D7" s="15" t="s">
        <v>25</v>
      </c>
      <c r="E7" s="16">
        <v>2</v>
      </c>
      <c r="F7" s="15" t="s">
        <v>38</v>
      </c>
      <c r="G7" s="16">
        <v>93</v>
      </c>
      <c r="H7" s="16">
        <v>100</v>
      </c>
      <c r="I7" s="16">
        <v>67</v>
      </c>
      <c r="J7" s="16">
        <v>78</v>
      </c>
      <c r="K7" s="16">
        <v>72</v>
      </c>
      <c r="L7" s="17">
        <v>80</v>
      </c>
      <c r="O7" s="23" t="s">
        <v>321</v>
      </c>
      <c r="P7" s="23" t="s">
        <v>318</v>
      </c>
      <c r="Q7" s="23" t="s">
        <v>313</v>
      </c>
      <c r="R7" s="23" t="s">
        <v>314</v>
      </c>
      <c r="S7" s="23" t="s">
        <v>315</v>
      </c>
      <c r="T7" s="23" t="s">
        <v>316</v>
      </c>
      <c r="U7" s="23" t="s">
        <v>317</v>
      </c>
    </row>
    <row r="8" spans="1:21" x14ac:dyDescent="0.3">
      <c r="A8" s="14">
        <v>7</v>
      </c>
      <c r="B8" s="15" t="s">
        <v>35</v>
      </c>
      <c r="C8" s="15" t="s">
        <v>42</v>
      </c>
      <c r="D8" s="15" t="s">
        <v>20</v>
      </c>
      <c r="E8" s="16">
        <v>3</v>
      </c>
      <c r="F8" s="15" t="s">
        <v>44</v>
      </c>
      <c r="G8" s="16">
        <v>99</v>
      </c>
      <c r="H8" s="16">
        <v>96</v>
      </c>
      <c r="I8" s="16">
        <v>97</v>
      </c>
      <c r="J8" s="16">
        <v>73</v>
      </c>
      <c r="K8" s="16">
        <v>88</v>
      </c>
      <c r="L8" s="17">
        <v>76</v>
      </c>
      <c r="O8" s="7"/>
      <c r="P8" s="7"/>
      <c r="Q8" s="7"/>
      <c r="R8" s="7"/>
      <c r="S8" s="7"/>
      <c r="T8" s="7"/>
      <c r="U8" s="7"/>
    </row>
    <row r="9" spans="1:21" x14ac:dyDescent="0.3">
      <c r="A9" s="14">
        <v>8</v>
      </c>
      <c r="B9" s="15" t="s">
        <v>45</v>
      </c>
      <c r="C9" s="15" t="s">
        <v>46</v>
      </c>
      <c r="D9" s="15" t="s">
        <v>20</v>
      </c>
      <c r="E9" s="16">
        <v>2</v>
      </c>
      <c r="F9" s="15" t="s">
        <v>44</v>
      </c>
      <c r="G9" s="16">
        <v>95</v>
      </c>
      <c r="H9" s="16">
        <v>95</v>
      </c>
      <c r="I9" s="16">
        <v>82</v>
      </c>
      <c r="J9" s="16">
        <v>63</v>
      </c>
      <c r="K9" s="16">
        <v>84</v>
      </c>
      <c r="L9" s="17">
        <v>70</v>
      </c>
      <c r="O9" s="27" t="s">
        <v>320</v>
      </c>
      <c r="P9" s="7">
        <f>SUM(G2:G101)</f>
        <v>8461</v>
      </c>
      <c r="Q9" s="7">
        <f>SUM(H2:H101)</f>
        <v>7964</v>
      </c>
      <c r="R9" s="7">
        <f>SUM(I2:I101)</f>
        <v>8138</v>
      </c>
      <c r="S9" s="7">
        <f>SUM(J2:J101)</f>
        <v>7986</v>
      </c>
      <c r="T9" s="7">
        <f>SUM(K2:K101)</f>
        <v>7866</v>
      </c>
      <c r="U9" s="7">
        <f>SUM(L2:L101)</f>
        <v>8017</v>
      </c>
    </row>
    <row r="10" spans="1:21" x14ac:dyDescent="0.3">
      <c r="A10" s="14">
        <v>9</v>
      </c>
      <c r="B10" s="15" t="s">
        <v>48</v>
      </c>
      <c r="C10" s="15" t="s">
        <v>49</v>
      </c>
      <c r="D10" s="15" t="s">
        <v>20</v>
      </c>
      <c r="E10" s="16">
        <v>6</v>
      </c>
      <c r="F10" s="15" t="s">
        <v>38</v>
      </c>
      <c r="G10" s="16">
        <v>94</v>
      </c>
      <c r="H10" s="16">
        <v>68</v>
      </c>
      <c r="I10" s="16">
        <v>94</v>
      </c>
      <c r="J10" s="16">
        <v>85</v>
      </c>
      <c r="K10" s="16">
        <v>81</v>
      </c>
      <c r="L10" s="17">
        <v>74</v>
      </c>
      <c r="O10" s="27" t="s">
        <v>322</v>
      </c>
      <c r="P10" s="7">
        <f>MIN(G2:G101)</f>
        <v>50</v>
      </c>
      <c r="Q10" s="7">
        <f t="shared" ref="Q10:U10" si="0">MIN(H2:H101)</f>
        <v>50</v>
      </c>
      <c r="R10" s="7">
        <f t="shared" si="0"/>
        <v>50</v>
      </c>
      <c r="S10" s="7">
        <f t="shared" si="0"/>
        <v>50</v>
      </c>
      <c r="T10" s="7">
        <f t="shared" si="0"/>
        <v>30</v>
      </c>
      <c r="U10" s="7">
        <f t="shared" si="0"/>
        <v>51</v>
      </c>
    </row>
    <row r="11" spans="1:21" x14ac:dyDescent="0.3">
      <c r="A11" s="14">
        <v>10</v>
      </c>
      <c r="B11" s="15" t="s">
        <v>51</v>
      </c>
      <c r="C11" s="15" t="s">
        <v>52</v>
      </c>
      <c r="D11" s="15" t="s">
        <v>25</v>
      </c>
      <c r="E11" s="16">
        <v>3</v>
      </c>
      <c r="F11" s="15" t="s">
        <v>54</v>
      </c>
      <c r="G11" s="16">
        <v>98</v>
      </c>
      <c r="H11" s="16">
        <v>69</v>
      </c>
      <c r="I11" s="16">
        <v>88</v>
      </c>
      <c r="J11" s="16">
        <v>71</v>
      </c>
      <c r="K11" s="16">
        <v>67</v>
      </c>
      <c r="L11" s="17">
        <v>71</v>
      </c>
      <c r="O11" s="27" t="s">
        <v>323</v>
      </c>
      <c r="P11" s="7">
        <f>MAX(G2:G101)</f>
        <v>100</v>
      </c>
      <c r="Q11" s="7">
        <f t="shared" ref="Q11:U11" si="1">MAX(H2:H101)</f>
        <v>100</v>
      </c>
      <c r="R11" s="7">
        <f t="shared" si="1"/>
        <v>100</v>
      </c>
      <c r="S11" s="7">
        <f t="shared" si="1"/>
        <v>100</v>
      </c>
      <c r="T11" s="7">
        <f t="shared" si="1"/>
        <v>100</v>
      </c>
      <c r="U11" s="7">
        <f t="shared" si="1"/>
        <v>99</v>
      </c>
    </row>
    <row r="12" spans="1:21" x14ac:dyDescent="0.3">
      <c r="A12" s="14">
        <v>11</v>
      </c>
      <c r="B12" s="15" t="s">
        <v>55</v>
      </c>
      <c r="C12" s="15" t="s">
        <v>56</v>
      </c>
      <c r="D12" s="15" t="s">
        <v>25</v>
      </c>
      <c r="E12" s="16">
        <v>2</v>
      </c>
      <c r="F12" s="15" t="s">
        <v>54</v>
      </c>
      <c r="G12" s="16">
        <v>65</v>
      </c>
      <c r="H12" s="16">
        <v>60</v>
      </c>
      <c r="I12" s="16">
        <v>97</v>
      </c>
      <c r="J12" s="16">
        <v>94</v>
      </c>
      <c r="K12" s="16">
        <v>71</v>
      </c>
      <c r="L12" s="17">
        <v>81</v>
      </c>
      <c r="O12" s="27" t="s">
        <v>324</v>
      </c>
      <c r="P12" s="7">
        <f>COUNT(G2:G101)</f>
        <v>100</v>
      </c>
      <c r="Q12" s="7">
        <f t="shared" ref="Q12:U12" si="2">COUNT(H2:H101)</f>
        <v>100</v>
      </c>
      <c r="R12" s="7">
        <f t="shared" si="2"/>
        <v>100</v>
      </c>
      <c r="S12" s="7">
        <f t="shared" si="2"/>
        <v>100</v>
      </c>
      <c r="T12" s="7">
        <f t="shared" si="2"/>
        <v>100</v>
      </c>
      <c r="U12" s="7">
        <f t="shared" si="2"/>
        <v>100</v>
      </c>
    </row>
    <row r="13" spans="1:21" x14ac:dyDescent="0.3">
      <c r="A13" s="14">
        <v>12</v>
      </c>
      <c r="B13" s="15" t="s">
        <v>58</v>
      </c>
      <c r="C13" s="15" t="s">
        <v>59</v>
      </c>
      <c r="D13" s="15" t="s">
        <v>20</v>
      </c>
      <c r="E13" s="16">
        <v>1</v>
      </c>
      <c r="F13" s="15" t="s">
        <v>38</v>
      </c>
      <c r="G13" s="16">
        <v>80</v>
      </c>
      <c r="H13" s="16">
        <v>61</v>
      </c>
      <c r="I13" s="16">
        <v>100</v>
      </c>
      <c r="J13" s="16">
        <v>65</v>
      </c>
      <c r="K13" s="16">
        <v>87</v>
      </c>
      <c r="L13" s="17">
        <v>64</v>
      </c>
      <c r="O13" s="27" t="s">
        <v>325</v>
      </c>
      <c r="P13" s="7">
        <f>COUNTA(G2:G101)</f>
        <v>100</v>
      </c>
      <c r="Q13" s="7">
        <f t="shared" ref="Q13:U13" si="3">COUNTA(H2:H101)</f>
        <v>100</v>
      </c>
      <c r="R13" s="7">
        <f t="shared" si="3"/>
        <v>100</v>
      </c>
      <c r="S13" s="7">
        <f t="shared" si="3"/>
        <v>100</v>
      </c>
      <c r="T13" s="7">
        <f t="shared" si="3"/>
        <v>100</v>
      </c>
      <c r="U13" s="7">
        <f t="shared" si="3"/>
        <v>100</v>
      </c>
    </row>
    <row r="14" spans="1:21" x14ac:dyDescent="0.3">
      <c r="A14" s="14">
        <v>13</v>
      </c>
      <c r="B14" s="15" t="s">
        <v>61</v>
      </c>
      <c r="C14" s="15" t="s">
        <v>62</v>
      </c>
      <c r="D14" s="15" t="s">
        <v>25</v>
      </c>
      <c r="E14" s="16">
        <v>7</v>
      </c>
      <c r="F14" s="15" t="s">
        <v>64</v>
      </c>
      <c r="G14" s="16">
        <v>94</v>
      </c>
      <c r="H14" s="16">
        <v>59</v>
      </c>
      <c r="I14" s="16">
        <v>69</v>
      </c>
      <c r="J14" s="16">
        <v>67</v>
      </c>
      <c r="K14" s="16">
        <v>89</v>
      </c>
      <c r="L14" s="17">
        <v>65</v>
      </c>
      <c r="O14" s="27" t="s">
        <v>326</v>
      </c>
      <c r="P14" s="7">
        <f>AVERAGE(G2:G101)</f>
        <v>84.61</v>
      </c>
      <c r="Q14" s="7">
        <f t="shared" ref="Q14:U14" si="4">AVERAGE(H2:H101)</f>
        <v>79.64</v>
      </c>
      <c r="R14" s="7">
        <f t="shared" si="4"/>
        <v>81.38</v>
      </c>
      <c r="S14" s="7">
        <f t="shared" si="4"/>
        <v>79.86</v>
      </c>
      <c r="T14" s="7">
        <f t="shared" si="4"/>
        <v>78.66</v>
      </c>
      <c r="U14" s="7">
        <f t="shared" si="4"/>
        <v>80.17</v>
      </c>
    </row>
    <row r="15" spans="1:21" x14ac:dyDescent="0.3">
      <c r="A15" s="14">
        <v>14</v>
      </c>
      <c r="B15" s="15" t="s">
        <v>65</v>
      </c>
      <c r="C15" s="15" t="s">
        <v>66</v>
      </c>
      <c r="D15" s="15" t="s">
        <v>25</v>
      </c>
      <c r="E15" s="16">
        <v>10</v>
      </c>
      <c r="F15" s="15" t="s">
        <v>64</v>
      </c>
      <c r="G15" s="16">
        <v>66</v>
      </c>
      <c r="H15" s="16">
        <v>94</v>
      </c>
      <c r="I15" s="16">
        <v>86</v>
      </c>
      <c r="J15" s="16">
        <v>100</v>
      </c>
      <c r="K15" s="16">
        <v>57</v>
      </c>
      <c r="L15" s="17">
        <v>90</v>
      </c>
    </row>
    <row r="16" spans="1:21" ht="15.6" x14ac:dyDescent="0.3">
      <c r="A16" s="14">
        <v>15</v>
      </c>
      <c r="B16" s="15" t="s">
        <v>68</v>
      </c>
      <c r="C16" s="15" t="s">
        <v>66</v>
      </c>
      <c r="D16" s="15" t="s">
        <v>25</v>
      </c>
      <c r="E16" s="16">
        <v>3</v>
      </c>
      <c r="F16" s="15" t="s">
        <v>26</v>
      </c>
      <c r="G16" s="16">
        <v>96</v>
      </c>
      <c r="H16" s="16">
        <v>90</v>
      </c>
      <c r="I16" s="16">
        <v>86</v>
      </c>
      <c r="J16" s="16">
        <v>92</v>
      </c>
      <c r="K16" s="16">
        <v>92</v>
      </c>
      <c r="L16" s="17">
        <v>95</v>
      </c>
      <c r="O16" s="26" t="s">
        <v>327</v>
      </c>
      <c r="P16" s="26"/>
      <c r="Q16" s="26"/>
      <c r="R16" s="26"/>
      <c r="S16" s="26"/>
      <c r="T16" s="26"/>
      <c r="U16" s="26"/>
    </row>
    <row r="17" spans="1:21" x14ac:dyDescent="0.3">
      <c r="A17" s="14">
        <v>16</v>
      </c>
      <c r="B17" s="15" t="s">
        <v>70</v>
      </c>
      <c r="C17" s="15" t="s">
        <v>71</v>
      </c>
      <c r="D17" s="15" t="s">
        <v>20</v>
      </c>
      <c r="E17" s="16">
        <v>6</v>
      </c>
      <c r="F17" s="15" t="s">
        <v>64</v>
      </c>
      <c r="G17" s="16">
        <v>94</v>
      </c>
      <c r="H17" s="16">
        <v>50</v>
      </c>
      <c r="I17" s="16">
        <v>78</v>
      </c>
      <c r="J17" s="16">
        <v>64</v>
      </c>
      <c r="K17" s="16">
        <v>79</v>
      </c>
      <c r="L17" s="17">
        <v>74</v>
      </c>
      <c r="O17" s="13"/>
      <c r="P17" s="25"/>
      <c r="Q17" s="25"/>
      <c r="R17" s="25"/>
      <c r="S17" s="25"/>
      <c r="T17" s="25"/>
      <c r="U17" s="12"/>
    </row>
    <row r="18" spans="1:21" x14ac:dyDescent="0.3">
      <c r="A18" s="14">
        <v>17</v>
      </c>
      <c r="B18" s="15" t="s">
        <v>73</v>
      </c>
      <c r="C18" s="15" t="s">
        <v>74</v>
      </c>
      <c r="D18" s="15" t="s">
        <v>25</v>
      </c>
      <c r="E18" s="16">
        <v>3</v>
      </c>
      <c r="F18" s="15" t="s">
        <v>76</v>
      </c>
      <c r="G18" s="16">
        <v>92</v>
      </c>
      <c r="H18" s="16">
        <v>64</v>
      </c>
      <c r="I18" s="16">
        <v>93</v>
      </c>
      <c r="J18" s="16">
        <v>91</v>
      </c>
      <c r="K18" s="16">
        <v>80</v>
      </c>
      <c r="L18" s="17">
        <v>89</v>
      </c>
      <c r="O18" s="27" t="s">
        <v>324</v>
      </c>
      <c r="P18" s="7">
        <f>COUNT(E2:E101)</f>
        <v>93</v>
      </c>
      <c r="Q18" s="25"/>
      <c r="R18" s="25"/>
      <c r="S18" s="25"/>
      <c r="T18" s="25"/>
      <c r="U18" s="25"/>
    </row>
    <row r="19" spans="1:21" x14ac:dyDescent="0.3">
      <c r="A19" s="14">
        <v>18</v>
      </c>
      <c r="B19" s="15" t="s">
        <v>77</v>
      </c>
      <c r="C19" s="15" t="s">
        <v>78</v>
      </c>
      <c r="D19" s="15" t="s">
        <v>20</v>
      </c>
      <c r="E19" s="16">
        <v>2</v>
      </c>
      <c r="F19" s="15" t="s">
        <v>44</v>
      </c>
      <c r="G19" s="16">
        <v>86</v>
      </c>
      <c r="H19" s="16">
        <v>83</v>
      </c>
      <c r="I19" s="16">
        <v>85</v>
      </c>
      <c r="J19" s="16">
        <v>79</v>
      </c>
      <c r="K19" s="16">
        <v>93</v>
      </c>
      <c r="L19" s="17">
        <v>76</v>
      </c>
      <c r="O19" s="27" t="s">
        <v>325</v>
      </c>
      <c r="P19" s="7">
        <f>COUNTA(E2:E101)</f>
        <v>100</v>
      </c>
      <c r="Q19" s="25"/>
      <c r="R19" s="25"/>
      <c r="S19" s="25"/>
      <c r="T19" s="25"/>
      <c r="U19" s="25"/>
    </row>
    <row r="20" spans="1:21" x14ac:dyDescent="0.3">
      <c r="A20" s="14">
        <v>19</v>
      </c>
      <c r="B20" s="15" t="s">
        <v>80</v>
      </c>
      <c r="C20" s="15" t="s">
        <v>81</v>
      </c>
      <c r="D20" s="15" t="s">
        <v>20</v>
      </c>
      <c r="E20" s="16">
        <v>1</v>
      </c>
      <c r="F20" s="15" t="s">
        <v>26</v>
      </c>
      <c r="G20" s="16">
        <v>92</v>
      </c>
      <c r="H20" s="16">
        <v>87</v>
      </c>
      <c r="I20" s="16">
        <v>92</v>
      </c>
      <c r="J20" s="16">
        <v>99</v>
      </c>
      <c r="K20" s="16">
        <v>97</v>
      </c>
      <c r="L20" s="17">
        <v>87</v>
      </c>
    </row>
    <row r="21" spans="1:21" ht="15.6" x14ac:dyDescent="0.3">
      <c r="A21" s="14">
        <v>20</v>
      </c>
      <c r="B21" s="15" t="s">
        <v>83</v>
      </c>
      <c r="C21" s="15" t="s">
        <v>84</v>
      </c>
      <c r="D21" s="15" t="s">
        <v>25</v>
      </c>
      <c r="E21" s="16">
        <v>2</v>
      </c>
      <c r="F21" s="15" t="s">
        <v>44</v>
      </c>
      <c r="G21" s="16">
        <v>99</v>
      </c>
      <c r="H21" s="16">
        <v>65</v>
      </c>
      <c r="I21" s="16">
        <v>98</v>
      </c>
      <c r="J21" s="16">
        <v>75</v>
      </c>
      <c r="K21" s="16">
        <v>66</v>
      </c>
      <c r="L21" s="17">
        <v>72</v>
      </c>
      <c r="O21" s="5" t="s">
        <v>329</v>
      </c>
      <c r="P21" s="5"/>
      <c r="Q21" s="5"/>
      <c r="R21" s="5"/>
      <c r="S21" s="6"/>
    </row>
    <row r="22" spans="1:21" x14ac:dyDescent="0.3">
      <c r="A22" s="14">
        <v>21</v>
      </c>
      <c r="B22" s="15" t="s">
        <v>86</v>
      </c>
      <c r="C22" s="15" t="s">
        <v>87</v>
      </c>
      <c r="D22" s="15" t="s">
        <v>20</v>
      </c>
      <c r="E22" s="16">
        <v>3</v>
      </c>
      <c r="F22" s="15" t="s">
        <v>44</v>
      </c>
      <c r="G22" s="16">
        <v>100</v>
      </c>
      <c r="H22" s="16">
        <v>90</v>
      </c>
      <c r="I22" s="16">
        <v>72</v>
      </c>
      <c r="J22" s="16">
        <v>98</v>
      </c>
      <c r="K22" s="16">
        <v>73</v>
      </c>
      <c r="L22" s="17">
        <v>97</v>
      </c>
    </row>
    <row r="23" spans="1:21" x14ac:dyDescent="0.3">
      <c r="A23" s="14">
        <v>22</v>
      </c>
      <c r="B23" s="15" t="s">
        <v>89</v>
      </c>
      <c r="C23" s="15" t="s">
        <v>90</v>
      </c>
      <c r="D23" s="15" t="s">
        <v>20</v>
      </c>
      <c r="E23" s="16">
        <v>8</v>
      </c>
      <c r="F23" s="15" t="s">
        <v>64</v>
      </c>
      <c r="G23" s="16">
        <v>57</v>
      </c>
      <c r="H23" s="16">
        <v>55</v>
      </c>
      <c r="I23" s="16">
        <v>78</v>
      </c>
      <c r="J23" s="16">
        <v>94</v>
      </c>
      <c r="K23" s="16">
        <v>83</v>
      </c>
      <c r="L23" s="17">
        <v>88</v>
      </c>
    </row>
    <row r="24" spans="1:21" x14ac:dyDescent="0.3">
      <c r="A24" s="14">
        <v>23</v>
      </c>
      <c r="B24" s="15" t="s">
        <v>92</v>
      </c>
      <c r="C24" s="15" t="s">
        <v>52</v>
      </c>
      <c r="D24" s="15" t="s">
        <v>25</v>
      </c>
      <c r="E24" s="16">
        <v>9</v>
      </c>
      <c r="F24" s="15" t="s">
        <v>64</v>
      </c>
      <c r="G24" s="16">
        <v>89</v>
      </c>
      <c r="H24" s="16">
        <v>72</v>
      </c>
      <c r="I24" s="16">
        <v>68</v>
      </c>
      <c r="J24" s="16">
        <v>72</v>
      </c>
      <c r="K24" s="16">
        <v>71</v>
      </c>
      <c r="L24" s="17">
        <v>54</v>
      </c>
    </row>
    <row r="25" spans="1:21" x14ac:dyDescent="0.3">
      <c r="A25" s="14">
        <v>24</v>
      </c>
      <c r="B25" s="15" t="s">
        <v>94</v>
      </c>
      <c r="C25" s="15" t="s">
        <v>95</v>
      </c>
      <c r="D25" s="15" t="s">
        <v>20</v>
      </c>
      <c r="E25" s="16">
        <v>9</v>
      </c>
      <c r="F25" s="15" t="s">
        <v>64</v>
      </c>
      <c r="G25" s="16">
        <v>50</v>
      </c>
      <c r="H25" s="16">
        <v>76</v>
      </c>
      <c r="I25" s="16">
        <v>81</v>
      </c>
      <c r="J25" s="16">
        <v>55</v>
      </c>
      <c r="K25" s="16">
        <v>56</v>
      </c>
      <c r="L25" s="17">
        <v>80</v>
      </c>
    </row>
    <row r="26" spans="1:21" x14ac:dyDescent="0.3">
      <c r="A26" s="14">
        <v>25</v>
      </c>
      <c r="B26" s="15" t="s">
        <v>97</v>
      </c>
      <c r="C26" s="15" t="s">
        <v>98</v>
      </c>
      <c r="D26" s="15" t="s">
        <v>25</v>
      </c>
      <c r="E26" s="16">
        <v>4</v>
      </c>
      <c r="F26" s="15" t="s">
        <v>44</v>
      </c>
      <c r="G26" s="16">
        <v>87</v>
      </c>
      <c r="H26" s="16">
        <v>91</v>
      </c>
      <c r="I26" s="16">
        <v>90</v>
      </c>
      <c r="J26" s="16">
        <v>88</v>
      </c>
      <c r="K26" s="16">
        <v>95</v>
      </c>
      <c r="L26" s="17">
        <v>88</v>
      </c>
    </row>
    <row r="27" spans="1:21" x14ac:dyDescent="0.3">
      <c r="A27" s="14">
        <v>26</v>
      </c>
      <c r="B27" s="15" t="s">
        <v>61</v>
      </c>
      <c r="C27" s="15" t="s">
        <v>100</v>
      </c>
      <c r="D27" s="15" t="s">
        <v>25</v>
      </c>
      <c r="E27" s="16">
        <v>5</v>
      </c>
      <c r="F27" s="15" t="s">
        <v>26</v>
      </c>
      <c r="G27" s="16">
        <v>92</v>
      </c>
      <c r="H27" s="16">
        <v>86</v>
      </c>
      <c r="I27" s="16">
        <v>87</v>
      </c>
      <c r="J27" s="16">
        <v>81</v>
      </c>
      <c r="K27" s="16">
        <v>93</v>
      </c>
      <c r="L27" s="17">
        <v>90</v>
      </c>
    </row>
    <row r="28" spans="1:21" x14ac:dyDescent="0.3">
      <c r="A28" s="14">
        <v>27</v>
      </c>
      <c r="B28" s="15" t="s">
        <v>102</v>
      </c>
      <c r="C28" s="15" t="s">
        <v>103</v>
      </c>
      <c r="D28" s="15" t="s">
        <v>20</v>
      </c>
      <c r="E28" s="16">
        <v>3</v>
      </c>
      <c r="F28" s="15" t="s">
        <v>105</v>
      </c>
      <c r="G28" s="16">
        <v>100</v>
      </c>
      <c r="H28" s="16">
        <v>77</v>
      </c>
      <c r="I28" s="16">
        <v>80</v>
      </c>
      <c r="J28" s="16">
        <v>94</v>
      </c>
      <c r="K28" s="16">
        <v>63</v>
      </c>
      <c r="L28" s="17">
        <v>90</v>
      </c>
    </row>
    <row r="29" spans="1:21" x14ac:dyDescent="0.3">
      <c r="A29" s="14">
        <v>28</v>
      </c>
      <c r="B29" s="15" t="s">
        <v>106</v>
      </c>
      <c r="C29" s="15" t="s">
        <v>107</v>
      </c>
      <c r="D29" s="15" t="s">
        <v>20</v>
      </c>
      <c r="E29" s="16" t="s">
        <v>328</v>
      </c>
      <c r="F29" s="15" t="s">
        <v>109</v>
      </c>
      <c r="G29" s="16">
        <v>64</v>
      </c>
      <c r="H29" s="16">
        <v>75</v>
      </c>
      <c r="I29" s="16">
        <v>93</v>
      </c>
      <c r="J29" s="16">
        <v>79</v>
      </c>
      <c r="K29" s="16">
        <v>81</v>
      </c>
      <c r="L29" s="17">
        <v>96</v>
      </c>
    </row>
    <row r="30" spans="1:21" x14ac:dyDescent="0.3">
      <c r="A30" s="14">
        <v>29</v>
      </c>
      <c r="B30" s="15" t="s">
        <v>110</v>
      </c>
      <c r="C30" s="15" t="s">
        <v>111</v>
      </c>
      <c r="D30" s="15" t="s">
        <v>20</v>
      </c>
      <c r="E30" s="16">
        <v>1</v>
      </c>
      <c r="F30" s="15" t="s">
        <v>113</v>
      </c>
      <c r="G30" s="16">
        <v>79</v>
      </c>
      <c r="H30" s="16">
        <v>65</v>
      </c>
      <c r="I30" s="16">
        <v>99</v>
      </c>
      <c r="J30" s="16">
        <v>71</v>
      </c>
      <c r="K30" s="16">
        <v>76</v>
      </c>
      <c r="L30" s="17">
        <v>77</v>
      </c>
    </row>
    <row r="31" spans="1:21" x14ac:dyDescent="0.3">
      <c r="A31" s="14">
        <v>30</v>
      </c>
      <c r="B31" s="15" t="s">
        <v>114</v>
      </c>
      <c r="C31" s="15" t="s">
        <v>115</v>
      </c>
      <c r="D31" s="15" t="s">
        <v>25</v>
      </c>
      <c r="E31" s="16">
        <v>3</v>
      </c>
      <c r="F31" s="15" t="s">
        <v>113</v>
      </c>
      <c r="G31" s="16">
        <v>82</v>
      </c>
      <c r="H31" s="16">
        <v>100</v>
      </c>
      <c r="I31" s="16">
        <v>61</v>
      </c>
      <c r="J31" s="16">
        <v>97</v>
      </c>
      <c r="K31" s="16">
        <v>30</v>
      </c>
      <c r="L31" s="17">
        <v>74</v>
      </c>
    </row>
    <row r="32" spans="1:21" x14ac:dyDescent="0.3">
      <c r="A32" s="14">
        <v>31</v>
      </c>
      <c r="B32" s="15" t="s">
        <v>117</v>
      </c>
      <c r="C32" s="15" t="s">
        <v>118</v>
      </c>
      <c r="D32" s="15" t="s">
        <v>25</v>
      </c>
      <c r="E32" s="16" t="s">
        <v>328</v>
      </c>
      <c r="F32" s="15" t="s">
        <v>44</v>
      </c>
      <c r="G32" s="16">
        <v>88</v>
      </c>
      <c r="H32" s="16">
        <v>69</v>
      </c>
      <c r="I32" s="16">
        <v>87</v>
      </c>
      <c r="J32" s="16">
        <v>100</v>
      </c>
      <c r="K32" s="16">
        <v>88</v>
      </c>
      <c r="L32" s="17">
        <v>85</v>
      </c>
    </row>
    <row r="33" spans="1:12" x14ac:dyDescent="0.3">
      <c r="A33" s="14">
        <v>32</v>
      </c>
      <c r="B33" s="15" t="s">
        <v>120</v>
      </c>
      <c r="C33" s="15" t="s">
        <v>121</v>
      </c>
      <c r="D33" s="15" t="s">
        <v>25</v>
      </c>
      <c r="E33" s="16">
        <v>4</v>
      </c>
      <c r="F33" s="15" t="s">
        <v>123</v>
      </c>
      <c r="G33" s="16">
        <v>70</v>
      </c>
      <c r="H33" s="16">
        <v>68</v>
      </c>
      <c r="I33" s="16">
        <v>92</v>
      </c>
      <c r="J33" s="16">
        <v>74</v>
      </c>
      <c r="K33" s="16">
        <v>82</v>
      </c>
      <c r="L33" s="17">
        <v>85</v>
      </c>
    </row>
    <row r="34" spans="1:12" x14ac:dyDescent="0.3">
      <c r="A34" s="14">
        <v>33</v>
      </c>
      <c r="B34" s="15" t="s">
        <v>124</v>
      </c>
      <c r="C34" s="15" t="s">
        <v>125</v>
      </c>
      <c r="D34" s="15" t="s">
        <v>20</v>
      </c>
      <c r="E34" s="16">
        <v>4</v>
      </c>
      <c r="F34" s="15" t="s">
        <v>113</v>
      </c>
      <c r="G34" s="16">
        <v>77</v>
      </c>
      <c r="H34" s="16">
        <v>96</v>
      </c>
      <c r="I34" s="16">
        <v>98</v>
      </c>
      <c r="J34" s="16">
        <v>89</v>
      </c>
      <c r="K34" s="16">
        <v>85</v>
      </c>
      <c r="L34" s="17">
        <v>62</v>
      </c>
    </row>
    <row r="35" spans="1:12" x14ac:dyDescent="0.3">
      <c r="A35" s="14">
        <v>34</v>
      </c>
      <c r="B35" s="15" t="s">
        <v>127</v>
      </c>
      <c r="C35" s="15" t="s">
        <v>128</v>
      </c>
      <c r="D35" s="15" t="s">
        <v>25</v>
      </c>
      <c r="E35" s="16">
        <v>1</v>
      </c>
      <c r="F35" s="15" t="s">
        <v>105</v>
      </c>
      <c r="G35" s="16">
        <v>99</v>
      </c>
      <c r="H35" s="16">
        <v>84</v>
      </c>
      <c r="I35" s="16">
        <v>84</v>
      </c>
      <c r="J35" s="16">
        <v>78</v>
      </c>
      <c r="K35" s="16">
        <v>78</v>
      </c>
      <c r="L35" s="17">
        <v>77</v>
      </c>
    </row>
    <row r="36" spans="1:12" x14ac:dyDescent="0.3">
      <c r="A36" s="14">
        <v>35</v>
      </c>
      <c r="B36" s="15" t="s">
        <v>130</v>
      </c>
      <c r="C36" s="15" t="s">
        <v>131</v>
      </c>
      <c r="D36" s="15" t="s">
        <v>25</v>
      </c>
      <c r="E36" s="16">
        <v>3</v>
      </c>
      <c r="F36" s="15" t="s">
        <v>38</v>
      </c>
      <c r="G36" s="16">
        <v>90</v>
      </c>
      <c r="H36" s="16">
        <v>93</v>
      </c>
      <c r="I36" s="16">
        <v>91</v>
      </c>
      <c r="J36" s="16">
        <v>80</v>
      </c>
      <c r="K36" s="16">
        <v>86</v>
      </c>
      <c r="L36" s="17">
        <v>69</v>
      </c>
    </row>
    <row r="37" spans="1:12" x14ac:dyDescent="0.3">
      <c r="A37" s="14">
        <v>36</v>
      </c>
      <c r="B37" s="15" t="s">
        <v>39</v>
      </c>
      <c r="C37" s="15" t="s">
        <v>133</v>
      </c>
      <c r="D37" s="15" t="s">
        <v>25</v>
      </c>
      <c r="E37" s="16">
        <v>1</v>
      </c>
      <c r="F37" s="15" t="s">
        <v>38</v>
      </c>
      <c r="G37" s="16">
        <v>65</v>
      </c>
      <c r="H37" s="16">
        <v>70</v>
      </c>
      <c r="I37" s="16">
        <v>78</v>
      </c>
      <c r="J37" s="16">
        <v>98</v>
      </c>
      <c r="K37" s="16">
        <v>80</v>
      </c>
      <c r="L37" s="17">
        <v>66</v>
      </c>
    </row>
    <row r="38" spans="1:12" x14ac:dyDescent="0.3">
      <c r="A38" s="14">
        <v>37</v>
      </c>
      <c r="B38" s="15" t="s">
        <v>135</v>
      </c>
      <c r="C38" s="15" t="s">
        <v>136</v>
      </c>
      <c r="D38" s="15" t="s">
        <v>20</v>
      </c>
      <c r="E38" s="16">
        <v>2</v>
      </c>
      <c r="F38" s="15" t="s">
        <v>138</v>
      </c>
      <c r="G38" s="16">
        <v>99</v>
      </c>
      <c r="H38" s="16">
        <v>94</v>
      </c>
      <c r="I38" s="16">
        <v>87</v>
      </c>
      <c r="J38" s="16">
        <v>71</v>
      </c>
      <c r="K38" s="16">
        <v>89</v>
      </c>
      <c r="L38" s="17">
        <v>91</v>
      </c>
    </row>
    <row r="39" spans="1:12" x14ac:dyDescent="0.3">
      <c r="A39" s="14">
        <v>38</v>
      </c>
      <c r="B39" s="15" t="s">
        <v>139</v>
      </c>
      <c r="C39" s="15" t="s">
        <v>140</v>
      </c>
      <c r="D39" s="15" t="s">
        <v>20</v>
      </c>
      <c r="E39" s="16">
        <v>1</v>
      </c>
      <c r="F39" s="15" t="s">
        <v>138</v>
      </c>
      <c r="G39" s="16">
        <v>92</v>
      </c>
      <c r="H39" s="16">
        <v>100</v>
      </c>
      <c r="I39" s="16">
        <v>85</v>
      </c>
      <c r="J39" s="16">
        <v>89</v>
      </c>
      <c r="K39" s="16">
        <v>81</v>
      </c>
      <c r="L39" s="17">
        <v>91</v>
      </c>
    </row>
    <row r="40" spans="1:12" x14ac:dyDescent="0.3">
      <c r="A40" s="14">
        <v>39</v>
      </c>
      <c r="B40" s="15" t="s">
        <v>142</v>
      </c>
      <c r="C40" s="15" t="s">
        <v>143</v>
      </c>
      <c r="D40" s="15" t="s">
        <v>20</v>
      </c>
      <c r="E40" s="16">
        <v>4</v>
      </c>
      <c r="F40" s="15" t="s">
        <v>105</v>
      </c>
      <c r="G40" s="16">
        <v>77</v>
      </c>
      <c r="H40" s="16">
        <v>64</v>
      </c>
      <c r="I40" s="16">
        <v>64</v>
      </c>
      <c r="J40" s="16">
        <v>88</v>
      </c>
      <c r="K40" s="16">
        <v>94</v>
      </c>
      <c r="L40" s="17">
        <v>82</v>
      </c>
    </row>
    <row r="41" spans="1:12" x14ac:dyDescent="0.3">
      <c r="A41" s="14">
        <v>40</v>
      </c>
      <c r="B41" s="15" t="s">
        <v>145</v>
      </c>
      <c r="C41" s="15" t="s">
        <v>146</v>
      </c>
      <c r="D41" s="15" t="s">
        <v>20</v>
      </c>
      <c r="E41" s="16">
        <v>4</v>
      </c>
      <c r="F41" s="15" t="s">
        <v>113</v>
      </c>
      <c r="G41" s="16">
        <v>92</v>
      </c>
      <c r="H41" s="16">
        <v>60</v>
      </c>
      <c r="I41" s="16">
        <v>66</v>
      </c>
      <c r="J41" s="16">
        <v>87</v>
      </c>
      <c r="K41" s="16">
        <v>60</v>
      </c>
      <c r="L41" s="17">
        <v>83</v>
      </c>
    </row>
    <row r="42" spans="1:12" x14ac:dyDescent="0.3">
      <c r="A42" s="14">
        <v>41</v>
      </c>
      <c r="B42" s="15" t="s">
        <v>148</v>
      </c>
      <c r="C42" s="15" t="s">
        <v>149</v>
      </c>
      <c r="D42" s="15" t="s">
        <v>25</v>
      </c>
      <c r="E42" s="16">
        <v>4</v>
      </c>
      <c r="F42" s="15" t="s">
        <v>44</v>
      </c>
      <c r="G42" s="16">
        <v>85</v>
      </c>
      <c r="H42" s="16">
        <v>97</v>
      </c>
      <c r="I42" s="16">
        <v>64</v>
      </c>
      <c r="J42" s="16">
        <v>90</v>
      </c>
      <c r="K42" s="16">
        <v>79</v>
      </c>
      <c r="L42" s="17">
        <v>81</v>
      </c>
    </row>
    <row r="43" spans="1:12" x14ac:dyDescent="0.3">
      <c r="A43" s="14">
        <v>42</v>
      </c>
      <c r="B43" s="15" t="s">
        <v>151</v>
      </c>
      <c r="C43" s="15" t="s">
        <v>152</v>
      </c>
      <c r="D43" s="15" t="s">
        <v>20</v>
      </c>
      <c r="E43" s="16">
        <v>7</v>
      </c>
      <c r="F43" s="15" t="s">
        <v>64</v>
      </c>
      <c r="G43" s="16">
        <v>65</v>
      </c>
      <c r="H43" s="16">
        <v>55</v>
      </c>
      <c r="I43" s="16">
        <v>66</v>
      </c>
      <c r="J43" s="16">
        <v>50</v>
      </c>
      <c r="K43" s="16">
        <v>88</v>
      </c>
      <c r="L43" s="17">
        <v>56</v>
      </c>
    </row>
    <row r="44" spans="1:12" x14ac:dyDescent="0.3">
      <c r="A44" s="14">
        <v>43</v>
      </c>
      <c r="B44" s="15" t="s">
        <v>154</v>
      </c>
      <c r="C44" s="15" t="s">
        <v>155</v>
      </c>
      <c r="D44" s="15" t="s">
        <v>25</v>
      </c>
      <c r="E44" s="16">
        <v>6</v>
      </c>
      <c r="F44" s="15" t="s">
        <v>64</v>
      </c>
      <c r="G44" s="16">
        <v>93</v>
      </c>
      <c r="H44" s="16">
        <v>94</v>
      </c>
      <c r="I44" s="16">
        <v>92</v>
      </c>
      <c r="J44" s="16">
        <v>77</v>
      </c>
      <c r="K44" s="16">
        <v>87</v>
      </c>
      <c r="L44" s="17">
        <v>98</v>
      </c>
    </row>
    <row r="45" spans="1:12" x14ac:dyDescent="0.3">
      <c r="A45" s="14">
        <v>44</v>
      </c>
      <c r="B45" s="15" t="s">
        <v>65</v>
      </c>
      <c r="C45" s="15" t="s">
        <v>157</v>
      </c>
      <c r="D45" s="15" t="s">
        <v>25</v>
      </c>
      <c r="E45" s="16">
        <v>4</v>
      </c>
      <c r="F45" s="15" t="s">
        <v>159</v>
      </c>
      <c r="G45" s="16">
        <v>97</v>
      </c>
      <c r="H45" s="16">
        <v>99</v>
      </c>
      <c r="I45" s="16">
        <v>85</v>
      </c>
      <c r="J45" s="16">
        <v>96</v>
      </c>
      <c r="K45" s="16">
        <v>91</v>
      </c>
      <c r="L45" s="17">
        <v>68</v>
      </c>
    </row>
    <row r="46" spans="1:12" x14ac:dyDescent="0.3">
      <c r="A46" s="14">
        <v>45</v>
      </c>
      <c r="B46" s="15" t="s">
        <v>160</v>
      </c>
      <c r="C46" s="15" t="s">
        <v>161</v>
      </c>
      <c r="D46" s="15" t="s">
        <v>20</v>
      </c>
      <c r="E46" s="16">
        <v>4</v>
      </c>
      <c r="F46" s="15" t="s">
        <v>64</v>
      </c>
      <c r="G46" s="16">
        <v>54</v>
      </c>
      <c r="H46" s="16">
        <v>99</v>
      </c>
      <c r="I46" s="16">
        <v>79</v>
      </c>
      <c r="J46" s="16">
        <v>57</v>
      </c>
      <c r="K46" s="16">
        <v>53</v>
      </c>
      <c r="L46" s="17">
        <v>95</v>
      </c>
    </row>
    <row r="47" spans="1:12" x14ac:dyDescent="0.3">
      <c r="A47" s="14">
        <v>46</v>
      </c>
      <c r="B47" s="15" t="s">
        <v>163</v>
      </c>
      <c r="C47" s="15" t="s">
        <v>164</v>
      </c>
      <c r="D47" s="15" t="s">
        <v>20</v>
      </c>
      <c r="E47" s="16">
        <v>5</v>
      </c>
      <c r="F47" s="15" t="s">
        <v>64</v>
      </c>
      <c r="G47" s="16">
        <v>88</v>
      </c>
      <c r="H47" s="16">
        <v>53</v>
      </c>
      <c r="I47" s="16">
        <v>50</v>
      </c>
      <c r="J47" s="16">
        <v>58</v>
      </c>
      <c r="K47" s="16">
        <v>84</v>
      </c>
      <c r="L47" s="17">
        <v>53</v>
      </c>
    </row>
    <row r="48" spans="1:12" x14ac:dyDescent="0.3">
      <c r="A48" s="14">
        <v>47</v>
      </c>
      <c r="B48" s="15" t="s">
        <v>166</v>
      </c>
      <c r="C48" s="15" t="s">
        <v>167</v>
      </c>
      <c r="D48" s="15" t="s">
        <v>25</v>
      </c>
      <c r="E48" s="16">
        <v>5</v>
      </c>
      <c r="F48" s="15" t="s">
        <v>21</v>
      </c>
      <c r="G48" s="16">
        <v>71</v>
      </c>
      <c r="H48" s="16">
        <v>85</v>
      </c>
      <c r="I48" s="16">
        <v>93</v>
      </c>
      <c r="J48" s="16">
        <v>68</v>
      </c>
      <c r="K48" s="16">
        <v>100</v>
      </c>
      <c r="L48" s="17">
        <v>91</v>
      </c>
    </row>
    <row r="49" spans="1:12" x14ac:dyDescent="0.3">
      <c r="A49" s="14">
        <v>48</v>
      </c>
      <c r="B49" s="15" t="s">
        <v>169</v>
      </c>
      <c r="C49" s="15" t="s">
        <v>170</v>
      </c>
      <c r="D49" s="15" t="s">
        <v>20</v>
      </c>
      <c r="E49" s="16" t="s">
        <v>328</v>
      </c>
      <c r="F49" s="15" t="s">
        <v>172</v>
      </c>
      <c r="G49" s="16">
        <v>81</v>
      </c>
      <c r="H49" s="16">
        <v>98</v>
      </c>
      <c r="I49" s="16">
        <v>74</v>
      </c>
      <c r="J49" s="16">
        <v>70</v>
      </c>
      <c r="K49" s="16">
        <v>97</v>
      </c>
      <c r="L49" s="17">
        <v>65</v>
      </c>
    </row>
    <row r="50" spans="1:12" x14ac:dyDescent="0.3">
      <c r="A50" s="14">
        <v>49</v>
      </c>
      <c r="B50" s="15" t="s">
        <v>173</v>
      </c>
      <c r="C50" s="15" t="s">
        <v>39</v>
      </c>
      <c r="D50" s="15" t="s">
        <v>25</v>
      </c>
      <c r="E50" s="16">
        <v>4</v>
      </c>
      <c r="F50" s="15" t="s">
        <v>38</v>
      </c>
      <c r="G50" s="16">
        <v>80</v>
      </c>
      <c r="H50" s="16">
        <v>78</v>
      </c>
      <c r="I50" s="16">
        <v>86</v>
      </c>
      <c r="J50" s="16">
        <v>80</v>
      </c>
      <c r="K50" s="16">
        <v>64</v>
      </c>
      <c r="L50" s="17">
        <v>68</v>
      </c>
    </row>
    <row r="51" spans="1:12" x14ac:dyDescent="0.3">
      <c r="A51" s="14">
        <v>50</v>
      </c>
      <c r="B51" s="15" t="s">
        <v>175</v>
      </c>
      <c r="C51" s="15" t="s">
        <v>176</v>
      </c>
      <c r="D51" s="15" t="s">
        <v>25</v>
      </c>
      <c r="E51" s="16" t="s">
        <v>328</v>
      </c>
      <c r="F51" s="15" t="s">
        <v>113</v>
      </c>
      <c r="G51" s="16">
        <v>100</v>
      </c>
      <c r="H51" s="16">
        <v>89</v>
      </c>
      <c r="I51" s="16">
        <v>90</v>
      </c>
      <c r="J51" s="16">
        <v>93</v>
      </c>
      <c r="K51" s="16">
        <v>30</v>
      </c>
      <c r="L51" s="17">
        <v>83</v>
      </c>
    </row>
    <row r="52" spans="1:12" x14ac:dyDescent="0.3">
      <c r="A52" s="14">
        <v>51</v>
      </c>
      <c r="B52" s="15" t="s">
        <v>145</v>
      </c>
      <c r="C52" s="15" t="s">
        <v>178</v>
      </c>
      <c r="D52" s="15" t="s">
        <v>20</v>
      </c>
      <c r="E52" s="16">
        <v>6</v>
      </c>
      <c r="F52" s="15" t="s">
        <v>172</v>
      </c>
      <c r="G52" s="16">
        <v>76</v>
      </c>
      <c r="H52" s="16">
        <v>72</v>
      </c>
      <c r="I52" s="16">
        <v>96</v>
      </c>
      <c r="J52" s="16">
        <v>65</v>
      </c>
      <c r="K52" s="16">
        <v>89</v>
      </c>
      <c r="L52" s="17">
        <v>87</v>
      </c>
    </row>
    <row r="53" spans="1:12" x14ac:dyDescent="0.3">
      <c r="A53" s="14">
        <v>52</v>
      </c>
      <c r="B53" s="15" t="s">
        <v>180</v>
      </c>
      <c r="C53" s="15" t="s">
        <v>181</v>
      </c>
      <c r="D53" s="15" t="s">
        <v>25</v>
      </c>
      <c r="E53" s="16">
        <v>2</v>
      </c>
      <c r="F53" s="15" t="s">
        <v>21</v>
      </c>
      <c r="G53" s="16">
        <v>99</v>
      </c>
      <c r="H53" s="16">
        <v>81</v>
      </c>
      <c r="I53" s="16">
        <v>73</v>
      </c>
      <c r="J53" s="16">
        <v>70</v>
      </c>
      <c r="K53" s="16">
        <v>85</v>
      </c>
      <c r="L53" s="17">
        <v>86</v>
      </c>
    </row>
    <row r="54" spans="1:12" x14ac:dyDescent="0.3">
      <c r="A54" s="14">
        <v>53</v>
      </c>
      <c r="B54" s="15" t="s">
        <v>183</v>
      </c>
      <c r="C54" s="15" t="s">
        <v>92</v>
      </c>
      <c r="D54" s="15" t="s">
        <v>20</v>
      </c>
      <c r="E54" s="16">
        <v>9</v>
      </c>
      <c r="F54" s="15" t="s">
        <v>64</v>
      </c>
      <c r="G54" s="16">
        <v>64</v>
      </c>
      <c r="H54" s="16">
        <v>70</v>
      </c>
      <c r="I54" s="16">
        <v>61</v>
      </c>
      <c r="J54" s="16">
        <v>81</v>
      </c>
      <c r="K54" s="16">
        <v>82</v>
      </c>
      <c r="L54" s="17">
        <v>51</v>
      </c>
    </row>
    <row r="55" spans="1:12" x14ac:dyDescent="0.3">
      <c r="A55" s="14">
        <v>54</v>
      </c>
      <c r="B55" s="15" t="s">
        <v>185</v>
      </c>
      <c r="C55" s="15" t="s">
        <v>186</v>
      </c>
      <c r="D55" s="15" t="s">
        <v>25</v>
      </c>
      <c r="E55" s="16">
        <v>3</v>
      </c>
      <c r="F55" s="15" t="s">
        <v>105</v>
      </c>
      <c r="G55" s="16">
        <v>90</v>
      </c>
      <c r="H55" s="16">
        <v>96</v>
      </c>
      <c r="I55" s="16">
        <v>86</v>
      </c>
      <c r="J55" s="16">
        <v>61</v>
      </c>
      <c r="K55" s="16">
        <v>89</v>
      </c>
      <c r="L55" s="17">
        <v>98</v>
      </c>
    </row>
    <row r="56" spans="1:12" x14ac:dyDescent="0.3">
      <c r="A56" s="14">
        <v>55</v>
      </c>
      <c r="B56" s="15" t="s">
        <v>188</v>
      </c>
      <c r="C56" s="15" t="s">
        <v>146</v>
      </c>
      <c r="D56" s="15" t="s">
        <v>20</v>
      </c>
      <c r="E56" s="16">
        <v>2</v>
      </c>
      <c r="F56" s="15" t="s">
        <v>159</v>
      </c>
      <c r="G56" s="16">
        <v>85</v>
      </c>
      <c r="H56" s="16">
        <v>100</v>
      </c>
      <c r="I56" s="16">
        <v>92</v>
      </c>
      <c r="J56" s="16">
        <v>68</v>
      </c>
      <c r="K56" s="16">
        <v>60</v>
      </c>
      <c r="L56" s="17">
        <v>77</v>
      </c>
    </row>
    <row r="57" spans="1:12" x14ac:dyDescent="0.3">
      <c r="A57" s="14">
        <v>56</v>
      </c>
      <c r="B57" s="15" t="s">
        <v>190</v>
      </c>
      <c r="C57" s="15" t="s">
        <v>191</v>
      </c>
      <c r="D57" s="15" t="s">
        <v>25</v>
      </c>
      <c r="E57" s="16">
        <v>6</v>
      </c>
      <c r="F57" s="15" t="s">
        <v>44</v>
      </c>
      <c r="G57" s="16">
        <v>91</v>
      </c>
      <c r="H57" s="16">
        <v>60</v>
      </c>
      <c r="I57" s="16">
        <v>84</v>
      </c>
      <c r="J57" s="16">
        <v>88</v>
      </c>
      <c r="K57" s="16">
        <v>76</v>
      </c>
      <c r="L57" s="17">
        <v>71</v>
      </c>
    </row>
    <row r="58" spans="1:12" x14ac:dyDescent="0.3">
      <c r="A58" s="14">
        <v>57</v>
      </c>
      <c r="B58" s="15" t="s">
        <v>193</v>
      </c>
      <c r="C58" s="15" t="s">
        <v>136</v>
      </c>
      <c r="D58" s="15" t="s">
        <v>25</v>
      </c>
      <c r="E58" s="16">
        <v>3</v>
      </c>
      <c r="F58" s="15" t="s">
        <v>38</v>
      </c>
      <c r="G58" s="16">
        <v>95</v>
      </c>
      <c r="H58" s="16">
        <v>72</v>
      </c>
      <c r="I58" s="16">
        <v>79</v>
      </c>
      <c r="J58" s="16">
        <v>86</v>
      </c>
      <c r="K58" s="16">
        <v>87</v>
      </c>
      <c r="L58" s="17">
        <v>81</v>
      </c>
    </row>
    <row r="59" spans="1:12" x14ac:dyDescent="0.3">
      <c r="A59" s="14">
        <v>58</v>
      </c>
      <c r="B59" s="15" t="s">
        <v>160</v>
      </c>
      <c r="C59" s="15" t="s">
        <v>195</v>
      </c>
      <c r="D59" s="15" t="s">
        <v>20</v>
      </c>
      <c r="E59" s="16">
        <v>2</v>
      </c>
      <c r="F59" s="15" t="s">
        <v>105</v>
      </c>
      <c r="G59" s="16">
        <v>94</v>
      </c>
      <c r="H59" s="16">
        <v>78</v>
      </c>
      <c r="I59" s="16">
        <v>73</v>
      </c>
      <c r="J59" s="16">
        <v>97</v>
      </c>
      <c r="K59" s="16">
        <v>67</v>
      </c>
      <c r="L59" s="17">
        <v>78</v>
      </c>
    </row>
    <row r="60" spans="1:12" x14ac:dyDescent="0.3">
      <c r="A60" s="14">
        <v>59</v>
      </c>
      <c r="B60" s="15" t="s">
        <v>197</v>
      </c>
      <c r="C60" s="15" t="s">
        <v>198</v>
      </c>
      <c r="D60" s="15" t="s">
        <v>20</v>
      </c>
      <c r="E60" s="16">
        <v>7</v>
      </c>
      <c r="F60" s="15" t="s">
        <v>44</v>
      </c>
      <c r="G60" s="16">
        <v>94</v>
      </c>
      <c r="H60" s="16">
        <v>89</v>
      </c>
      <c r="I60" s="16">
        <v>64</v>
      </c>
      <c r="J60" s="16">
        <v>96</v>
      </c>
      <c r="K60" s="16">
        <v>91</v>
      </c>
      <c r="L60" s="17">
        <v>95</v>
      </c>
    </row>
    <row r="61" spans="1:12" x14ac:dyDescent="0.3">
      <c r="A61" s="14">
        <v>60</v>
      </c>
      <c r="B61" s="15" t="s">
        <v>18</v>
      </c>
      <c r="C61" s="15" t="s">
        <v>200</v>
      </c>
      <c r="D61" s="15" t="s">
        <v>20</v>
      </c>
      <c r="E61" s="16">
        <v>4</v>
      </c>
      <c r="F61" s="15" t="s">
        <v>44</v>
      </c>
      <c r="G61" s="16">
        <v>89</v>
      </c>
      <c r="H61" s="16">
        <v>99</v>
      </c>
      <c r="I61" s="16">
        <v>90</v>
      </c>
      <c r="J61" s="16">
        <v>79</v>
      </c>
      <c r="K61" s="16">
        <v>85</v>
      </c>
      <c r="L61" s="17">
        <v>96</v>
      </c>
    </row>
    <row r="62" spans="1:12" x14ac:dyDescent="0.3">
      <c r="A62" s="14">
        <v>61</v>
      </c>
      <c r="B62" s="15" t="s">
        <v>202</v>
      </c>
      <c r="C62" s="15" t="s">
        <v>203</v>
      </c>
      <c r="D62" s="15" t="s">
        <v>25</v>
      </c>
      <c r="E62" s="16">
        <v>2</v>
      </c>
      <c r="F62" s="15" t="s">
        <v>159</v>
      </c>
      <c r="G62" s="16">
        <v>91</v>
      </c>
      <c r="H62" s="16">
        <v>81</v>
      </c>
      <c r="I62" s="16">
        <v>88</v>
      </c>
      <c r="J62" s="16">
        <v>71</v>
      </c>
      <c r="K62" s="16">
        <v>78</v>
      </c>
      <c r="L62" s="17">
        <v>83</v>
      </c>
    </row>
    <row r="63" spans="1:12" x14ac:dyDescent="0.3">
      <c r="A63" s="14">
        <v>62</v>
      </c>
      <c r="B63" s="15" t="s">
        <v>205</v>
      </c>
      <c r="C63" s="15" t="s">
        <v>206</v>
      </c>
      <c r="D63" s="15" t="s">
        <v>25</v>
      </c>
      <c r="E63" s="16">
        <v>5</v>
      </c>
      <c r="F63" s="15" t="s">
        <v>21</v>
      </c>
      <c r="G63" s="16">
        <v>83</v>
      </c>
      <c r="H63" s="16">
        <v>86</v>
      </c>
      <c r="I63" s="16">
        <v>61</v>
      </c>
      <c r="J63" s="16">
        <v>99</v>
      </c>
      <c r="K63" s="16">
        <v>99</v>
      </c>
      <c r="L63" s="17">
        <v>88</v>
      </c>
    </row>
    <row r="64" spans="1:12" x14ac:dyDescent="0.3">
      <c r="A64" s="14">
        <v>63</v>
      </c>
      <c r="B64" s="15" t="s">
        <v>208</v>
      </c>
      <c r="C64" s="15" t="s">
        <v>209</v>
      </c>
      <c r="D64" s="15" t="s">
        <v>20</v>
      </c>
      <c r="E64" s="16">
        <v>7</v>
      </c>
      <c r="F64" s="15" t="s">
        <v>64</v>
      </c>
      <c r="G64" s="16">
        <v>98</v>
      </c>
      <c r="H64" s="16">
        <v>65</v>
      </c>
      <c r="I64" s="16">
        <v>53</v>
      </c>
      <c r="J64" s="16">
        <v>64</v>
      </c>
      <c r="K64" s="16">
        <v>52</v>
      </c>
      <c r="L64" s="17">
        <v>96</v>
      </c>
    </row>
    <row r="65" spans="1:12" x14ac:dyDescent="0.3">
      <c r="A65" s="14">
        <v>64</v>
      </c>
      <c r="B65" s="15" t="s">
        <v>211</v>
      </c>
      <c r="C65" s="15" t="s">
        <v>212</v>
      </c>
      <c r="D65" s="15" t="s">
        <v>25</v>
      </c>
      <c r="E65" s="16">
        <v>1</v>
      </c>
      <c r="F65" s="15" t="s">
        <v>105</v>
      </c>
      <c r="G65" s="16">
        <v>83</v>
      </c>
      <c r="H65" s="16">
        <v>97</v>
      </c>
      <c r="I65" s="16">
        <v>65</v>
      </c>
      <c r="J65" s="16">
        <v>88</v>
      </c>
      <c r="K65" s="16">
        <v>67</v>
      </c>
      <c r="L65" s="17">
        <v>95</v>
      </c>
    </row>
    <row r="66" spans="1:12" x14ac:dyDescent="0.3">
      <c r="A66" s="14">
        <v>65</v>
      </c>
      <c r="B66" s="15" t="s">
        <v>214</v>
      </c>
      <c r="C66" s="15" t="s">
        <v>215</v>
      </c>
      <c r="D66" s="15" t="s">
        <v>20</v>
      </c>
      <c r="E66" s="16">
        <v>2</v>
      </c>
      <c r="F66" s="15" t="s">
        <v>138</v>
      </c>
      <c r="G66" s="16">
        <v>91</v>
      </c>
      <c r="H66" s="16">
        <v>73</v>
      </c>
      <c r="I66" s="16">
        <v>99</v>
      </c>
      <c r="J66" s="16">
        <v>70</v>
      </c>
      <c r="K66" s="16">
        <v>63</v>
      </c>
      <c r="L66" s="17">
        <v>80</v>
      </c>
    </row>
    <row r="67" spans="1:12" x14ac:dyDescent="0.3">
      <c r="A67" s="14">
        <v>66</v>
      </c>
      <c r="B67" s="15" t="s">
        <v>217</v>
      </c>
      <c r="C67" s="15" t="s">
        <v>218</v>
      </c>
      <c r="D67" s="15" t="s">
        <v>25</v>
      </c>
      <c r="E67" s="16">
        <v>6</v>
      </c>
      <c r="F67" s="15" t="s">
        <v>64</v>
      </c>
      <c r="G67" s="16">
        <v>90</v>
      </c>
      <c r="H67" s="16">
        <v>54</v>
      </c>
      <c r="I67" s="16">
        <v>77</v>
      </c>
      <c r="J67" s="16">
        <v>74</v>
      </c>
      <c r="K67" s="16">
        <v>76</v>
      </c>
      <c r="L67" s="17">
        <v>96</v>
      </c>
    </row>
    <row r="68" spans="1:12" x14ac:dyDescent="0.3">
      <c r="A68" s="14">
        <v>67</v>
      </c>
      <c r="B68" s="15" t="s">
        <v>35</v>
      </c>
      <c r="C68" s="15" t="s">
        <v>42</v>
      </c>
      <c r="D68" s="15" t="s">
        <v>20</v>
      </c>
      <c r="E68" s="16">
        <v>3</v>
      </c>
      <c r="F68" s="15" t="s">
        <v>44</v>
      </c>
      <c r="G68" s="16">
        <v>92</v>
      </c>
      <c r="H68" s="16">
        <v>86</v>
      </c>
      <c r="I68" s="16">
        <v>66</v>
      </c>
      <c r="J68" s="16">
        <v>69</v>
      </c>
      <c r="K68" s="16">
        <v>100</v>
      </c>
      <c r="L68" s="17">
        <v>71</v>
      </c>
    </row>
    <row r="69" spans="1:12" x14ac:dyDescent="0.3">
      <c r="A69" s="14">
        <v>68</v>
      </c>
      <c r="B69" s="15" t="s">
        <v>221</v>
      </c>
      <c r="C69" s="15" t="s">
        <v>222</v>
      </c>
      <c r="D69" s="15" t="s">
        <v>20</v>
      </c>
      <c r="E69" s="16">
        <v>2</v>
      </c>
      <c r="F69" s="15" t="s">
        <v>224</v>
      </c>
      <c r="G69" s="16">
        <v>64</v>
      </c>
      <c r="H69" s="16">
        <v>64</v>
      </c>
      <c r="I69" s="16">
        <v>73</v>
      </c>
      <c r="J69" s="16">
        <v>76</v>
      </c>
      <c r="K69" s="16">
        <v>72</v>
      </c>
      <c r="L69" s="17">
        <v>97</v>
      </c>
    </row>
    <row r="70" spans="1:12" x14ac:dyDescent="0.3">
      <c r="A70" s="14">
        <v>69</v>
      </c>
      <c r="B70" s="15" t="s">
        <v>225</v>
      </c>
      <c r="C70" s="15" t="s">
        <v>164</v>
      </c>
      <c r="D70" s="15" t="s">
        <v>20</v>
      </c>
      <c r="E70" s="16">
        <v>4</v>
      </c>
      <c r="F70" s="15" t="s">
        <v>44</v>
      </c>
      <c r="G70" s="16">
        <v>90</v>
      </c>
      <c r="H70" s="16">
        <v>70</v>
      </c>
      <c r="I70" s="16">
        <v>85</v>
      </c>
      <c r="J70" s="16">
        <v>60</v>
      </c>
      <c r="K70" s="16">
        <v>81</v>
      </c>
      <c r="L70" s="17">
        <v>71</v>
      </c>
    </row>
    <row r="71" spans="1:12" x14ac:dyDescent="0.3">
      <c r="A71" s="14">
        <v>70</v>
      </c>
      <c r="B71" s="15" t="s">
        <v>227</v>
      </c>
      <c r="C71" s="15" t="s">
        <v>228</v>
      </c>
      <c r="D71" s="15" t="s">
        <v>20</v>
      </c>
      <c r="E71" s="16">
        <v>10</v>
      </c>
      <c r="F71" s="15" t="s">
        <v>105</v>
      </c>
      <c r="G71" s="16">
        <v>99</v>
      </c>
      <c r="H71" s="16">
        <v>81</v>
      </c>
      <c r="I71" s="16">
        <v>96</v>
      </c>
      <c r="J71" s="16">
        <v>69</v>
      </c>
      <c r="K71" s="16">
        <v>91</v>
      </c>
      <c r="L71" s="17">
        <v>87</v>
      </c>
    </row>
    <row r="72" spans="1:12" x14ac:dyDescent="0.3">
      <c r="A72" s="14">
        <v>71</v>
      </c>
      <c r="B72" s="15" t="s">
        <v>230</v>
      </c>
      <c r="C72" s="15" t="s">
        <v>231</v>
      </c>
      <c r="D72" s="15" t="s">
        <v>25</v>
      </c>
      <c r="E72" s="16">
        <v>1</v>
      </c>
      <c r="F72" s="15" t="s">
        <v>123</v>
      </c>
      <c r="G72" s="16">
        <v>89</v>
      </c>
      <c r="H72" s="16">
        <v>66</v>
      </c>
      <c r="I72" s="16">
        <v>93</v>
      </c>
      <c r="J72" s="16">
        <v>81</v>
      </c>
      <c r="K72" s="16">
        <v>86</v>
      </c>
      <c r="L72" s="17">
        <v>88</v>
      </c>
    </row>
    <row r="73" spans="1:12" x14ac:dyDescent="0.3">
      <c r="A73" s="14">
        <v>72</v>
      </c>
      <c r="B73" s="15" t="s">
        <v>173</v>
      </c>
      <c r="C73" s="15" t="s">
        <v>233</v>
      </c>
      <c r="D73" s="15" t="s">
        <v>25</v>
      </c>
      <c r="E73" s="16">
        <v>3</v>
      </c>
      <c r="F73" s="15" t="s">
        <v>109</v>
      </c>
      <c r="G73" s="16">
        <v>62</v>
      </c>
      <c r="H73" s="16">
        <v>87</v>
      </c>
      <c r="I73" s="16">
        <v>93</v>
      </c>
      <c r="J73" s="16">
        <v>83</v>
      </c>
      <c r="K73" s="16">
        <v>93</v>
      </c>
      <c r="L73" s="17">
        <v>97</v>
      </c>
    </row>
    <row r="74" spans="1:12" x14ac:dyDescent="0.3">
      <c r="A74" s="14">
        <v>73</v>
      </c>
      <c r="B74" s="15" t="s">
        <v>235</v>
      </c>
      <c r="C74" s="15" t="s">
        <v>236</v>
      </c>
      <c r="D74" s="15" t="s">
        <v>20</v>
      </c>
      <c r="E74" s="16">
        <v>10</v>
      </c>
      <c r="F74" s="15" t="s">
        <v>64</v>
      </c>
      <c r="G74" s="16">
        <v>61</v>
      </c>
      <c r="H74" s="16">
        <v>70</v>
      </c>
      <c r="I74" s="16">
        <v>69</v>
      </c>
      <c r="J74" s="16">
        <v>64</v>
      </c>
      <c r="K74" s="16">
        <v>59</v>
      </c>
      <c r="L74" s="17">
        <v>78</v>
      </c>
    </row>
    <row r="75" spans="1:12" x14ac:dyDescent="0.3">
      <c r="A75" s="14">
        <v>74</v>
      </c>
      <c r="B75" s="15" t="s">
        <v>139</v>
      </c>
      <c r="C75" s="15" t="s">
        <v>238</v>
      </c>
      <c r="D75" s="15" t="s">
        <v>20</v>
      </c>
      <c r="E75" s="16">
        <v>8</v>
      </c>
      <c r="F75" s="15" t="s">
        <v>64</v>
      </c>
      <c r="G75" s="16">
        <v>51</v>
      </c>
      <c r="H75" s="16">
        <v>54</v>
      </c>
      <c r="I75" s="16">
        <v>66</v>
      </c>
      <c r="J75" s="16">
        <v>87</v>
      </c>
      <c r="K75" s="16">
        <v>99</v>
      </c>
      <c r="L75" s="17">
        <v>58</v>
      </c>
    </row>
    <row r="76" spans="1:12" x14ac:dyDescent="0.3">
      <c r="A76" s="14">
        <v>75</v>
      </c>
      <c r="B76" s="15" t="s">
        <v>240</v>
      </c>
      <c r="C76" s="15" t="s">
        <v>241</v>
      </c>
      <c r="D76" s="15" t="s">
        <v>25</v>
      </c>
      <c r="E76" s="16">
        <v>2</v>
      </c>
      <c r="F76" s="15" t="s">
        <v>44</v>
      </c>
      <c r="G76" s="16">
        <v>85</v>
      </c>
      <c r="H76" s="16">
        <v>100</v>
      </c>
      <c r="I76" s="16">
        <v>64</v>
      </c>
      <c r="J76" s="16">
        <v>68</v>
      </c>
      <c r="K76" s="16">
        <v>73</v>
      </c>
      <c r="L76" s="17">
        <v>81</v>
      </c>
    </row>
    <row r="77" spans="1:12" x14ac:dyDescent="0.3">
      <c r="A77" s="14">
        <v>76</v>
      </c>
      <c r="B77" s="15" t="s">
        <v>243</v>
      </c>
      <c r="C77" s="15" t="s">
        <v>244</v>
      </c>
      <c r="D77" s="15" t="s">
        <v>25</v>
      </c>
      <c r="E77" s="16">
        <v>7</v>
      </c>
      <c r="F77" s="15" t="s">
        <v>44</v>
      </c>
      <c r="G77" s="16">
        <v>99</v>
      </c>
      <c r="H77" s="16">
        <v>90</v>
      </c>
      <c r="I77" s="16">
        <v>96</v>
      </c>
      <c r="J77" s="16">
        <v>92</v>
      </c>
      <c r="K77" s="16">
        <v>100</v>
      </c>
      <c r="L77" s="17">
        <v>98</v>
      </c>
    </row>
    <row r="78" spans="1:12" x14ac:dyDescent="0.3">
      <c r="A78" s="14">
        <v>77</v>
      </c>
      <c r="B78" s="15" t="s">
        <v>190</v>
      </c>
      <c r="C78" s="15" t="s">
        <v>246</v>
      </c>
      <c r="D78" s="15" t="s">
        <v>25</v>
      </c>
      <c r="E78" s="16">
        <v>3</v>
      </c>
      <c r="F78" s="15" t="s">
        <v>44</v>
      </c>
      <c r="G78" s="16">
        <v>87</v>
      </c>
      <c r="H78" s="16">
        <v>63</v>
      </c>
      <c r="I78" s="16">
        <v>60</v>
      </c>
      <c r="J78" s="16">
        <v>90</v>
      </c>
      <c r="K78" s="16">
        <v>89</v>
      </c>
      <c r="L78" s="17">
        <v>99</v>
      </c>
    </row>
    <row r="79" spans="1:12" x14ac:dyDescent="0.3">
      <c r="A79" s="14">
        <v>78</v>
      </c>
      <c r="B79" s="15" t="s">
        <v>248</v>
      </c>
      <c r="C79" s="15" t="s">
        <v>249</v>
      </c>
      <c r="D79" s="15" t="s">
        <v>25</v>
      </c>
      <c r="E79" s="16">
        <v>1</v>
      </c>
      <c r="F79" s="15" t="s">
        <v>38</v>
      </c>
      <c r="G79" s="16">
        <v>75</v>
      </c>
      <c r="H79" s="16">
        <v>91</v>
      </c>
      <c r="I79" s="16">
        <v>80</v>
      </c>
      <c r="J79" s="16">
        <v>93</v>
      </c>
      <c r="K79" s="16">
        <v>74</v>
      </c>
      <c r="L79" s="17">
        <v>93</v>
      </c>
    </row>
    <row r="80" spans="1:12" x14ac:dyDescent="0.3">
      <c r="A80" s="14">
        <v>79</v>
      </c>
      <c r="B80" s="15" t="s">
        <v>251</v>
      </c>
      <c r="C80" s="15" t="s">
        <v>252</v>
      </c>
      <c r="D80" s="15" t="s">
        <v>25</v>
      </c>
      <c r="E80" s="16">
        <v>7</v>
      </c>
      <c r="F80" s="15" t="s">
        <v>38</v>
      </c>
      <c r="G80" s="16">
        <v>88</v>
      </c>
      <c r="H80" s="16">
        <v>94</v>
      </c>
      <c r="I80" s="16">
        <v>80</v>
      </c>
      <c r="J80" s="16">
        <v>63</v>
      </c>
      <c r="K80" s="16">
        <v>68</v>
      </c>
      <c r="L80" s="17">
        <v>77</v>
      </c>
    </row>
    <row r="81" spans="1:12" x14ac:dyDescent="0.3">
      <c r="A81" s="14">
        <v>80</v>
      </c>
      <c r="B81" s="15" t="s">
        <v>254</v>
      </c>
      <c r="C81" s="15" t="s">
        <v>255</v>
      </c>
      <c r="D81" s="15" t="s">
        <v>20</v>
      </c>
      <c r="E81" s="16">
        <v>3</v>
      </c>
      <c r="F81" s="15" t="s">
        <v>44</v>
      </c>
      <c r="G81" s="16">
        <v>87</v>
      </c>
      <c r="H81" s="16">
        <v>79</v>
      </c>
      <c r="I81" s="16">
        <v>89</v>
      </c>
      <c r="J81" s="16">
        <v>68</v>
      </c>
      <c r="K81" s="16">
        <v>93</v>
      </c>
      <c r="L81" s="17">
        <v>75</v>
      </c>
    </row>
    <row r="82" spans="1:12" x14ac:dyDescent="0.3">
      <c r="A82" s="14">
        <v>81</v>
      </c>
      <c r="B82" s="15" t="s">
        <v>166</v>
      </c>
      <c r="C82" s="15" t="s">
        <v>257</v>
      </c>
      <c r="D82" s="15" t="s">
        <v>25</v>
      </c>
      <c r="E82" s="16">
        <v>3</v>
      </c>
      <c r="F82" s="15" t="s">
        <v>64</v>
      </c>
      <c r="G82" s="16">
        <v>87</v>
      </c>
      <c r="H82" s="16">
        <v>67</v>
      </c>
      <c r="I82" s="16">
        <v>94</v>
      </c>
      <c r="J82" s="16">
        <v>92</v>
      </c>
      <c r="K82" s="16">
        <v>62</v>
      </c>
      <c r="L82" s="17">
        <v>58</v>
      </c>
    </row>
    <row r="83" spans="1:12" x14ac:dyDescent="0.3">
      <c r="A83" s="14">
        <v>82</v>
      </c>
      <c r="B83" s="15" t="s">
        <v>130</v>
      </c>
      <c r="C83" s="15" t="s">
        <v>259</v>
      </c>
      <c r="D83" s="15" t="s">
        <v>25</v>
      </c>
      <c r="E83" s="16">
        <v>1</v>
      </c>
      <c r="F83" s="15" t="s">
        <v>172</v>
      </c>
      <c r="G83" s="16">
        <v>76</v>
      </c>
      <c r="H83" s="16">
        <v>67</v>
      </c>
      <c r="I83" s="16">
        <v>83</v>
      </c>
      <c r="J83" s="16">
        <v>85</v>
      </c>
      <c r="K83" s="16">
        <v>91</v>
      </c>
      <c r="L83" s="17">
        <v>61</v>
      </c>
    </row>
    <row r="84" spans="1:12" x14ac:dyDescent="0.3">
      <c r="A84" s="14">
        <v>83</v>
      </c>
      <c r="B84" s="15" t="s">
        <v>114</v>
      </c>
      <c r="C84" s="15" t="s">
        <v>261</v>
      </c>
      <c r="D84" s="15" t="s">
        <v>25</v>
      </c>
      <c r="E84" s="16">
        <v>7</v>
      </c>
      <c r="F84" s="15" t="s">
        <v>30</v>
      </c>
      <c r="G84" s="16">
        <v>60</v>
      </c>
      <c r="H84" s="16">
        <v>80</v>
      </c>
      <c r="I84" s="16">
        <v>61</v>
      </c>
      <c r="J84" s="16">
        <v>63</v>
      </c>
      <c r="K84" s="16">
        <v>95</v>
      </c>
      <c r="L84" s="17">
        <v>92</v>
      </c>
    </row>
    <row r="85" spans="1:12" x14ac:dyDescent="0.3">
      <c r="A85" s="14">
        <v>84</v>
      </c>
      <c r="B85" s="15" t="s">
        <v>263</v>
      </c>
      <c r="C85" s="15" t="s">
        <v>264</v>
      </c>
      <c r="D85" s="15" t="s">
        <v>20</v>
      </c>
      <c r="E85" s="16">
        <v>7</v>
      </c>
      <c r="F85" s="15" t="s">
        <v>76</v>
      </c>
      <c r="G85" s="16">
        <v>85</v>
      </c>
      <c r="H85" s="16">
        <v>65</v>
      </c>
      <c r="I85" s="16">
        <v>99</v>
      </c>
      <c r="J85" s="16">
        <v>100</v>
      </c>
      <c r="K85" s="16">
        <v>88</v>
      </c>
      <c r="L85" s="17">
        <v>93</v>
      </c>
    </row>
    <row r="86" spans="1:12" x14ac:dyDescent="0.3">
      <c r="A86" s="14">
        <v>85</v>
      </c>
      <c r="B86" s="15" t="s">
        <v>266</v>
      </c>
      <c r="C86" s="15" t="s">
        <v>267</v>
      </c>
      <c r="D86" s="15" t="s">
        <v>20</v>
      </c>
      <c r="E86" s="16">
        <v>3</v>
      </c>
      <c r="F86" s="15" t="s">
        <v>38</v>
      </c>
      <c r="G86" s="16">
        <v>73</v>
      </c>
      <c r="H86" s="16">
        <v>67</v>
      </c>
      <c r="I86" s="16">
        <v>70</v>
      </c>
      <c r="J86" s="16">
        <v>71</v>
      </c>
      <c r="K86" s="16">
        <v>65</v>
      </c>
      <c r="L86" s="17">
        <v>73</v>
      </c>
    </row>
    <row r="87" spans="1:12" x14ac:dyDescent="0.3">
      <c r="A87" s="14">
        <v>86</v>
      </c>
      <c r="B87" s="15" t="s">
        <v>269</v>
      </c>
      <c r="C87" s="15" t="s">
        <v>270</v>
      </c>
      <c r="D87" s="15" t="s">
        <v>20</v>
      </c>
      <c r="E87" s="16">
        <v>1</v>
      </c>
      <c r="F87" s="15" t="s">
        <v>44</v>
      </c>
      <c r="G87" s="16">
        <v>85</v>
      </c>
      <c r="H87" s="16">
        <v>71</v>
      </c>
      <c r="I87" s="16">
        <v>69</v>
      </c>
      <c r="J87" s="16">
        <v>80</v>
      </c>
      <c r="K87" s="16">
        <v>70</v>
      </c>
      <c r="L87" s="17">
        <v>77</v>
      </c>
    </row>
    <row r="88" spans="1:12" x14ac:dyDescent="0.3">
      <c r="A88" s="14">
        <v>87</v>
      </c>
      <c r="B88" s="15" t="s">
        <v>190</v>
      </c>
      <c r="C88" s="15" t="s">
        <v>272</v>
      </c>
      <c r="D88" s="15" t="s">
        <v>25</v>
      </c>
      <c r="E88" s="16">
        <v>2</v>
      </c>
      <c r="F88" s="15" t="s">
        <v>30</v>
      </c>
      <c r="G88" s="16">
        <v>91</v>
      </c>
      <c r="H88" s="16">
        <v>76</v>
      </c>
      <c r="I88" s="16">
        <v>71</v>
      </c>
      <c r="J88" s="16">
        <v>72</v>
      </c>
      <c r="K88" s="16">
        <v>92</v>
      </c>
      <c r="L88" s="17">
        <v>67</v>
      </c>
    </row>
    <row r="89" spans="1:12" x14ac:dyDescent="0.3">
      <c r="A89" s="14">
        <v>88</v>
      </c>
      <c r="B89" s="15" t="s">
        <v>274</v>
      </c>
      <c r="C89" s="15" t="s">
        <v>275</v>
      </c>
      <c r="D89" s="15" t="s">
        <v>25</v>
      </c>
      <c r="E89" s="16">
        <v>3</v>
      </c>
      <c r="F89" s="15" t="s">
        <v>44</v>
      </c>
      <c r="G89" s="16">
        <v>99</v>
      </c>
      <c r="H89" s="16">
        <v>95</v>
      </c>
      <c r="I89" s="16">
        <v>83</v>
      </c>
      <c r="J89" s="16">
        <v>89</v>
      </c>
      <c r="K89" s="16">
        <v>81</v>
      </c>
      <c r="L89" s="17">
        <v>63</v>
      </c>
    </row>
    <row r="90" spans="1:12" x14ac:dyDescent="0.3">
      <c r="A90" s="14">
        <v>89</v>
      </c>
      <c r="B90" s="15" t="s">
        <v>277</v>
      </c>
      <c r="C90" s="15" t="s">
        <v>278</v>
      </c>
      <c r="D90" s="15" t="s">
        <v>20</v>
      </c>
      <c r="E90" s="16">
        <v>3</v>
      </c>
      <c r="F90" s="15" t="s">
        <v>172</v>
      </c>
      <c r="G90" s="16">
        <v>93</v>
      </c>
      <c r="H90" s="16">
        <v>96</v>
      </c>
      <c r="I90" s="16">
        <v>68</v>
      </c>
      <c r="J90" s="16">
        <v>87</v>
      </c>
      <c r="K90" s="16">
        <v>69</v>
      </c>
      <c r="L90" s="17">
        <v>89</v>
      </c>
    </row>
    <row r="91" spans="1:12" x14ac:dyDescent="0.3">
      <c r="A91" s="14">
        <v>90</v>
      </c>
      <c r="B91" s="15" t="s">
        <v>280</v>
      </c>
      <c r="C91" s="15" t="s">
        <v>281</v>
      </c>
      <c r="D91" s="15" t="s">
        <v>20</v>
      </c>
      <c r="E91" s="16">
        <v>3</v>
      </c>
      <c r="F91" s="15" t="s">
        <v>44</v>
      </c>
      <c r="G91" s="16">
        <v>89</v>
      </c>
      <c r="H91" s="16">
        <v>75</v>
      </c>
      <c r="I91" s="16">
        <v>60</v>
      </c>
      <c r="J91" s="16">
        <v>80</v>
      </c>
      <c r="K91" s="16">
        <v>62</v>
      </c>
      <c r="L91" s="17">
        <v>85</v>
      </c>
    </row>
    <row r="92" spans="1:12" x14ac:dyDescent="0.3">
      <c r="A92" s="14">
        <v>91</v>
      </c>
      <c r="B92" s="15" t="s">
        <v>283</v>
      </c>
      <c r="C92" s="15" t="s">
        <v>284</v>
      </c>
      <c r="D92" s="15" t="s">
        <v>20</v>
      </c>
      <c r="E92" s="16" t="s">
        <v>328</v>
      </c>
      <c r="F92" s="15" t="s">
        <v>113</v>
      </c>
      <c r="G92" s="16">
        <v>95</v>
      </c>
      <c r="H92" s="16">
        <v>78</v>
      </c>
      <c r="I92" s="16">
        <v>95</v>
      </c>
      <c r="J92" s="16">
        <v>73</v>
      </c>
      <c r="K92" s="16">
        <v>32</v>
      </c>
      <c r="L92" s="17">
        <v>65</v>
      </c>
    </row>
    <row r="93" spans="1:12" x14ac:dyDescent="0.3">
      <c r="A93" s="14">
        <v>92</v>
      </c>
      <c r="B93" s="15" t="s">
        <v>266</v>
      </c>
      <c r="C93" s="15" t="s">
        <v>286</v>
      </c>
      <c r="D93" s="15" t="s">
        <v>20</v>
      </c>
      <c r="E93" s="16">
        <v>4</v>
      </c>
      <c r="F93" s="15" t="s">
        <v>30</v>
      </c>
      <c r="G93" s="16">
        <v>68</v>
      </c>
      <c r="H93" s="16">
        <v>82</v>
      </c>
      <c r="I93" s="16">
        <v>95</v>
      </c>
      <c r="J93" s="16">
        <v>63</v>
      </c>
      <c r="K93" s="16">
        <v>62</v>
      </c>
      <c r="L93" s="17">
        <v>98</v>
      </c>
    </row>
    <row r="94" spans="1:12" x14ac:dyDescent="0.3">
      <c r="A94" s="14">
        <v>93</v>
      </c>
      <c r="B94" s="15" t="s">
        <v>277</v>
      </c>
      <c r="C94" s="15" t="s">
        <v>288</v>
      </c>
      <c r="D94" s="15" t="s">
        <v>20</v>
      </c>
      <c r="E94" s="16">
        <v>5</v>
      </c>
      <c r="F94" s="15" t="s">
        <v>44</v>
      </c>
      <c r="G94" s="16">
        <v>98</v>
      </c>
      <c r="H94" s="16">
        <v>73</v>
      </c>
      <c r="I94" s="16">
        <v>73</v>
      </c>
      <c r="J94" s="16">
        <v>77</v>
      </c>
      <c r="K94" s="16">
        <v>87</v>
      </c>
      <c r="L94" s="17">
        <v>98</v>
      </c>
    </row>
    <row r="95" spans="1:12" x14ac:dyDescent="0.3">
      <c r="A95" s="14">
        <v>94</v>
      </c>
      <c r="B95" s="15" t="s">
        <v>197</v>
      </c>
      <c r="C95" s="15" t="s">
        <v>281</v>
      </c>
      <c r="D95" s="15" t="s">
        <v>20</v>
      </c>
      <c r="E95" s="16">
        <v>4</v>
      </c>
      <c r="F95" s="15" t="s">
        <v>172</v>
      </c>
      <c r="G95" s="16">
        <v>79</v>
      </c>
      <c r="H95" s="16">
        <v>92</v>
      </c>
      <c r="I95" s="16">
        <v>79</v>
      </c>
      <c r="J95" s="16">
        <v>76</v>
      </c>
      <c r="K95" s="16">
        <v>84</v>
      </c>
      <c r="L95" s="17">
        <v>67</v>
      </c>
    </row>
    <row r="96" spans="1:12" x14ac:dyDescent="0.3">
      <c r="A96" s="14">
        <v>95</v>
      </c>
      <c r="B96" s="15" t="s">
        <v>291</v>
      </c>
      <c r="C96" s="15" t="s">
        <v>292</v>
      </c>
      <c r="D96" s="15" t="s">
        <v>25</v>
      </c>
      <c r="E96" s="16">
        <v>5</v>
      </c>
      <c r="F96" s="15" t="s">
        <v>38</v>
      </c>
      <c r="G96" s="16">
        <v>78</v>
      </c>
      <c r="H96" s="16">
        <v>79</v>
      </c>
      <c r="I96" s="16">
        <v>73</v>
      </c>
      <c r="J96" s="16">
        <v>96</v>
      </c>
      <c r="K96" s="16">
        <v>64</v>
      </c>
      <c r="L96" s="17">
        <v>93</v>
      </c>
    </row>
    <row r="97" spans="1:12" x14ac:dyDescent="0.3">
      <c r="A97" s="14">
        <v>96</v>
      </c>
      <c r="B97" s="15" t="s">
        <v>294</v>
      </c>
      <c r="C97" s="15" t="s">
        <v>295</v>
      </c>
      <c r="D97" s="15" t="s">
        <v>25</v>
      </c>
      <c r="E97" s="16">
        <v>2</v>
      </c>
      <c r="F97" s="15" t="s">
        <v>44</v>
      </c>
      <c r="G97" s="16">
        <v>100</v>
      </c>
      <c r="H97" s="16">
        <v>98</v>
      </c>
      <c r="I97" s="16">
        <v>89</v>
      </c>
      <c r="J97" s="16">
        <v>85</v>
      </c>
      <c r="K97" s="16">
        <v>81</v>
      </c>
      <c r="L97" s="17">
        <v>64</v>
      </c>
    </row>
    <row r="98" spans="1:12" x14ac:dyDescent="0.3">
      <c r="A98" s="14">
        <v>97</v>
      </c>
      <c r="B98" s="15" t="s">
        <v>297</v>
      </c>
      <c r="C98" s="15" t="s">
        <v>298</v>
      </c>
      <c r="D98" s="15" t="s">
        <v>25</v>
      </c>
      <c r="E98" s="16">
        <v>3</v>
      </c>
      <c r="F98" s="15" t="s">
        <v>34</v>
      </c>
      <c r="G98" s="16">
        <v>86</v>
      </c>
      <c r="H98" s="16">
        <v>76</v>
      </c>
      <c r="I98" s="16">
        <v>84</v>
      </c>
      <c r="J98" s="16">
        <v>93</v>
      </c>
      <c r="K98" s="16">
        <v>76</v>
      </c>
      <c r="L98" s="17">
        <v>69</v>
      </c>
    </row>
    <row r="99" spans="1:12" x14ac:dyDescent="0.3">
      <c r="A99" s="14">
        <v>98</v>
      </c>
      <c r="B99" s="15" t="s">
        <v>300</v>
      </c>
      <c r="C99" s="15" t="s">
        <v>56</v>
      </c>
      <c r="D99" s="15" t="s">
        <v>20</v>
      </c>
      <c r="E99" s="16">
        <v>3</v>
      </c>
      <c r="F99" s="15" t="s">
        <v>224</v>
      </c>
      <c r="G99" s="16">
        <v>87</v>
      </c>
      <c r="H99" s="16">
        <v>89</v>
      </c>
      <c r="I99" s="16">
        <v>93</v>
      </c>
      <c r="J99" s="16">
        <v>98</v>
      </c>
      <c r="K99" s="16">
        <v>79</v>
      </c>
      <c r="L99" s="17">
        <v>72</v>
      </c>
    </row>
    <row r="100" spans="1:12" x14ac:dyDescent="0.3">
      <c r="A100" s="14">
        <v>99</v>
      </c>
      <c r="B100" s="15" t="s">
        <v>302</v>
      </c>
      <c r="C100" s="15" t="s">
        <v>303</v>
      </c>
      <c r="D100" s="15" t="s">
        <v>20</v>
      </c>
      <c r="E100" s="16" t="s">
        <v>328</v>
      </c>
      <c r="F100" s="15" t="s">
        <v>21</v>
      </c>
      <c r="G100" s="16">
        <v>100</v>
      </c>
      <c r="H100" s="16">
        <v>93</v>
      </c>
      <c r="I100" s="16">
        <v>85</v>
      </c>
      <c r="J100" s="16">
        <v>61</v>
      </c>
      <c r="K100" s="16">
        <v>96</v>
      </c>
      <c r="L100" s="17">
        <v>83</v>
      </c>
    </row>
    <row r="101" spans="1:12" x14ac:dyDescent="0.3">
      <c r="A101" s="18">
        <v>100</v>
      </c>
      <c r="B101" s="19" t="s">
        <v>173</v>
      </c>
      <c r="C101" s="19" t="s">
        <v>305</v>
      </c>
      <c r="D101" s="19" t="s">
        <v>25</v>
      </c>
      <c r="E101" s="20" t="s">
        <v>328</v>
      </c>
      <c r="F101" s="19" t="s">
        <v>159</v>
      </c>
      <c r="G101" s="20">
        <v>85</v>
      </c>
      <c r="H101" s="20">
        <v>89</v>
      </c>
      <c r="I101" s="20">
        <v>94</v>
      </c>
      <c r="J101" s="20">
        <v>69</v>
      </c>
      <c r="K101" s="20">
        <v>99</v>
      </c>
      <c r="L101" s="21">
        <v>93</v>
      </c>
    </row>
  </sheetData>
  <mergeCells count="2">
    <mergeCell ref="O5:U5"/>
    <mergeCell ref="O16:U1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Aggregation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Selvaraj</dc:creator>
  <cp:lastModifiedBy>Pavithra Selvaraj</cp:lastModifiedBy>
  <dcterms:created xsi:type="dcterms:W3CDTF">2025-11-19T17:46:38Z</dcterms:created>
  <dcterms:modified xsi:type="dcterms:W3CDTF">2025-11-19T18:45:36Z</dcterms:modified>
</cp:coreProperties>
</file>